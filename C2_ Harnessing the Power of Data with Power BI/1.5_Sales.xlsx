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8081594-3C64-48C2-9466-6A9654694D6F}" xr6:coauthVersionLast="47" xr6:coauthVersionMax="47" xr10:uidLastSave="{00000000-0000-0000-0000-000000000000}"/>
  <bookViews>
    <workbookView xWindow="3350" yWindow="180" windowWidth="15850" windowHeight="10620" activeTab="1" xr2:uid="{0D641321-614F-44FF-9330-2E0EFE54D21B}"/>
  </bookViews>
  <sheets>
    <sheet name="1.5_Sales" sheetId="1" r:id="rId1"/>
    <sheet name="1.5_Sales (2)" sheetId="2" r:id="rId2"/>
  </sheets>
  <definedNames>
    <definedName name="_xlnm._FilterDatabase" localSheetId="1" hidden="1">'1.5_Sales (2)'!$A$1:$R$49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2" i="2"/>
</calcChain>
</file>

<file path=xl/sharedStrings.xml><?xml version="1.0" encoding="utf-8"?>
<sst xmlns="http://schemas.openxmlformats.org/spreadsheetml/2006/main" count="401" uniqueCount="203">
  <si>
    <t>Product ID;Product Category;Product Subcategory;Product Name;Product Description;Product Price;Product Weight;Product Size;Order ID;Customer ID;Order Date;Order Status;Order Quantity;Order Total;Payment Method</t>
  </si>
  <si>
    <t>1001;Mountain BIKES;Cross Country; TrailBlazer 1000 ;Lightweight and versatile;1200.00;25.0;m;2001;3001;2023-03-01;Shipped;2;2400.00;Credit Card</t>
  </si>
  <si>
    <t>1002;Mountain Bikes;Cross Country;TrailBlazer 2000;High-performance mountain bike;1500.00;22.0;l;2002;3002;2023-03-02;Processing;1;1500.00;PayPal</t>
  </si>
  <si>
    <t>1003;Road Bikes;Racing;SpeedMaster 1000 ;Agile and aerodynamic road bike;1800.00;18.0;S;2003;3003;2023-03-03;Cancelled;3;5400.00;Credit Card</t>
  </si>
  <si>
    <t>1004;Road BIKES;Racing;SpeedMaster 2000;Premium racing road bike;2100.00;16.0;L;2004;3004;2023-03-04;Shipped;1;2100.00;Credit Card</t>
  </si>
  <si>
    <t>1005;Touring Bikes;Long Distance;Explorer 1000 ;Comfortable and durable touring bike;1300.00;27.0;M;2005;3005;2023-03-05;Processing;2;2600.00;PayPal</t>
  </si>
  <si>
    <t>1006;Touring Bikes;Long Distance;Explorer 2000;Advanced touring bike;1600.00;24.0;L;2006;3006;2023-03-06;Shipped;1;1600.00;Credit Card</t>
  </si>
  <si>
    <t>1007;Mountain Bikes;Downhill;GravityMaster 1000;Rugged and durable downhill bike;2200.00;29.0;m;2007;3007;2023-03-07;Shipped;2;4400.00;PayPal</t>
  </si>
  <si>
    <t>1008;Mountain Bikes;Downhill;       GravityMaster 2000 ;;2500.00;27.0;L;2008;3008;2023-03-08;Processing;1;2500.00;Credit Card</t>
  </si>
  <si>
    <t>1021;Mountain Bikes;Trail;Pathfinder 1000;Agile trail bike for all skill levels;1100.00;24.0;M;2021;3021;2023-03-21;Shipped;2;2200.00;Credit Card</t>
  </si>
  <si>
    <t>1022;mountain BIKES;Trail;Pathfinder 2000;High-performance trail bike;1400.00;21.0;l;2022;3022;2023-03-22;Processing;1;1400.00;PayPal</t>
  </si>
  <si>
    <t>1023;Road Bikes;Touring;    Voyager 1000    ;Comfortable touring road bike;1700.00;20.0;M;2023;3023;2023-03-23;Cancelled;3;5100.00;Credit Card</t>
  </si>
  <si>
    <t>1024;road Bikes;Touring;Voyager 2000;Advanced touring road bike;2000.00;18.0;L;2024;3024;2023-03-24;Shipped;1;2000.00;Credit Card</t>
  </si>
  <si>
    <t>1025;Touring Bikes;;Adventurer 1000;Durable bike for long adventures;1500.00;28.0;m;2025;3025;2023-03-25;Processing;2;3000.00;PayPal</t>
  </si>
  <si>
    <t>1026;Touring Bikes;Adventure;Adventurer 2000;Premium adventure touring bike;1800.00;26.0;L;2026;3026;2023-03-26;Shipped;1;1800.00;Credit Card</t>
  </si>
  <si>
    <t>1027;Mountain Bikes;Enduro;EnduroMaster 1000;Endurance-focused mountain bike;2300.00;30.0;S;2027;3027;2023-03-27;Shipped;2;4600.00;PayPal</t>
  </si>
  <si>
    <t>1028;mountain bikes;Enduro;EnduroMaster 2000;High-performance enduro mountain bike;2600.00;28.0;L;2028;3028;2023-03-28;Processing;1;2600.00;Credit Card</t>
  </si>
  <si>
    <t>1041;Mountain Bikes;Fat Bikes;FatTrail 1000;All-terrain fat bike;1300.00;32.0;m;2041;3041;2023-03-11;Shipped;2;2600.00;Credit Card</t>
  </si>
  <si>
    <t>1042;Mountain Bikes;Fat Bikes;FatTrail 2000;High-performance fat bike;1600.00;29.0;L;2042;3042;2023-03-12;Processing;1;1600.00;PayPal</t>
  </si>
  <si>
    <t>1043;Road Bikes;Cyclocross;CrossRider 1000;Versatile cyclocross bike;1900.00;21.0;M;2043;3043;2023-03-13;Cancelled;3;5700.00;Credit Card</t>
  </si>
  <si>
    <t>1044;Road Bikes;Cyclocross;CrossRider 2000;Advanced cyclocross bike;2200.00;19.0;L;2044;3044;2023-03-14;Shipped;1;2200.00;Credit Card</t>
  </si>
  <si>
    <t>1045;Touring Bikes;Tandem;DuoExplorer 1000;Comfortable tandem touring bike;2000.00;36.0;M;2045;3045;2023-03-15;Processing;2;4000.00;PayPal</t>
  </si>
  <si>
    <t>1046;Touring Bikes;Tandem;DuoExplorer 2000;High-performance tandem touring bike;2300.00;34.0;L;2046;3046;2023-03-16;Shipped;1;2300.00;Credit Card</t>
  </si>
  <si>
    <t>1047;Mountain Bikes;Electric;E-Mountain 1000;Electric mountain bike;3000.00;40.0;M;2047;3047;2023-03-17;Shipped;2;6000.00;PayPal</t>
  </si>
  <si>
    <t>1048;Mountain Bikes;Electric;E-Mountain 2000;High-performance electric mountain bike;3500.00;38.0;L;2048;3048;2023-03-18;Processing;1;3500.00;Credit Card</t>
  </si>
  <si>
    <t>1061;E-Bikes;City;UrbanEco 1000;Eco-friendly electric city bike;2000.00;35.0;s;2061;3061;2023-03-01;Shipped;2;4000.00;Credit Card</t>
  </si>
  <si>
    <t>1062;E-Bikes;City;UrbanEco 2000;High-performance electric city bike;2500.00;33.0;L;2062;3062;2023-03-02;Processing;1;2500.00;PayPal</t>
  </si>
  <si>
    <t>1063;ROAD BIKES;Gravel;GravelMaster 1000;All-terrain gravel bike;1700.00;22.0;M;2063;3063;2023-03-03;Cancelled;3;5100.00;Credit Card</t>
  </si>
  <si>
    <t>1064;Road Bikes;Gravel;GravelMaster 2000;High-performance gravel bike;2100.00;20.0;L;2064;3064;2023-03-04;Shipped;1;2100.00;Credit Card</t>
  </si>
  <si>
    <t>1065;Touring Bikes;Folding;FoldAway 1000;Compact folding touring bike;1500.00;30.0;M;2065;3065;2023-03-05;Processing;2;3000.00;PayPal</t>
  </si>
  <si>
    <t>1066;Touring Bikes;Folding;FoldAway 2000;Advanced folding touring bike;1800.00;28.0;L;2066;3066;2023-03-06;Shipped;1;1800.00;Credit Card</t>
  </si>
  <si>
    <t>1067;E-Bikes;Mountain;E-TrailBlazer 1000;Electric mountain bike;3200.00;42.0;M;2067;3067;2023-03-07;Shipped;2;6400.00;PayPal</t>
  </si>
  <si>
    <t>1068;E-Bikes;Mountain;E-TrailBlazer 2000;High-performance electric mountain bike;3700.00;40.0;L;2068;3068;2023-03-08;Processing;1;3700.00;Credit Card</t>
  </si>
  <si>
    <t>1081;Hybrid Bikes;Commuter;CommutePro 1000;Efficient commuter hybrid bike;1200.00;27.0;M;2081;3081;2023-02-19;Shipped;2;2400.00;Credit Card</t>
  </si>
  <si>
    <t>1082;Hybrid Bikes;Commuter;CommutePro 2000;High-performance commuter hybrid bike;1500.00;25.0;L;2082;3082;2023-02-20;Processing;1;1500.00;PayPal</t>
  </si>
  <si>
    <t>1083;Road Bikes;Aero;AeroSpeed 1000;Aerodynamic road bike;2800.00;18.0;M;2083;3083;2023-02-21;Cancelled;3;8400.00;Credit Card</t>
  </si>
  <si>
    <t>1084;Road Bikes;Aero;AeroSpeed 2000;Advanced aerodynamic road bike;3200.00;16.0;L;2084;3084;2023-02-22;Shipped;1;3200.00;Credit Card</t>
  </si>
  <si>
    <t>1085;Touring Bikes;Recumbent;ReclineRider 1000;Comfortable recumbent touring bike;2000.00;33.0;M;2085;3085;2023-02-23;Processing;2;4000.00;PayPal</t>
  </si>
  <si>
    <t>1086;Touring Bikes;Recumbent;ReclineRider 2000;High-performance recumbent touring bike;2400.00;30.0;L;2086;3086;2023-02-24;Shipped;1;2400.00;Credit Card</t>
  </si>
  <si>
    <t>1087;Mountain Bikes;Downhill;DownhillDominator 1000;Downhill mountain bike;2900.00;34.0;M;2087;3087;2023-02-25;Shipped;2;5800.00;PayPal</t>
  </si>
  <si>
    <t>1088;Mountain Bikes;Downhill;DownhillDominator 2000;High-performance downhill mountain bike;3300.00;32.0;L;2088;3088;2023-02-26;Processing;1;3300.00;PayPal</t>
  </si>
  <si>
    <t>1101;Kids Bikes;Balance;LittleBalancer 1000;Starter balance bike for kids;150.00;10.0;M;2101;3101;2023-02-01;Shipped;2;300.00;Credit Card</t>
  </si>
  <si>
    <t>1102;Kids Bikes;Balance;LittleBalancer 2000;Upgraded balance bike for kids;200.00;9.0;L;2102;3102;2023-02-02;Processing;1;200.00;PayPal</t>
  </si>
  <si>
    <t>1103;BMX Bikes;Freestyle;FreestyleMaster 1000;Beginner freestyle BMX bike;400.00;25.0;M;2103;3103;2023-02-03;Cancelled;3;1200.00;Credit Card</t>
  </si>
  <si>
    <t>1104;BMX Bikes;Freestyle;FreestyleMaster 2000;Advanced freestyle BMX bike;600.00;23.0;L;2104;3104;2023-02-04;Shipped;1;600.00;Credit Card</t>
  </si>
  <si>
    <t>1105;Mountain Bikes;Cross Country;XC-Rider 1000;Cross country mountain bike;1800.00;29.0;M;2105;3105;2023-02-05;Processing;2;3600.00;PayPal</t>
  </si>
  <si>
    <t>1106;Mountain Bikes;Cross Country;XC-Rider 2000;High-performance cross country bike;2400.00;27.0;L;2106;3106;2023-02-06;Shipped;1;2400.00;Credit Card</t>
  </si>
  <si>
    <t>1107;ROAD BIKES;Endurance;EnduranceElite 1000;Endurance road bike;2100.00;20.0;M;2107;3107;2023-02-07;Shipped;2;4200.00;PayPal</t>
  </si>
  <si>
    <t>1108;Road Bikes;Endurance;EnduranceElite 2000;High-performance endurance road bike;2600.00;18.0;L;2108;3108;2023-02-08;Processing;1;2600.00;Credit Card</t>
  </si>
  <si>
    <t>Product ID</t>
  </si>
  <si>
    <t>Product Category</t>
  </si>
  <si>
    <t>Product Subcategory</t>
  </si>
  <si>
    <t>Product Name</t>
  </si>
  <si>
    <t>Product Description</t>
  </si>
  <si>
    <t>Product Price</t>
  </si>
  <si>
    <t>Product Weight</t>
  </si>
  <si>
    <t>Product Size</t>
  </si>
  <si>
    <t>Order ID</t>
  </si>
  <si>
    <t>Customer ID</t>
  </si>
  <si>
    <t>Order Date</t>
  </si>
  <si>
    <t>Order Status</t>
  </si>
  <si>
    <t>Order Quantity</t>
  </si>
  <si>
    <t>Order Total</t>
  </si>
  <si>
    <t>Payment Method</t>
  </si>
  <si>
    <t>Mountain BIKES</t>
  </si>
  <si>
    <t>Cross Country</t>
  </si>
  <si>
    <t xml:space="preserve"> TrailBlazer 1000 </t>
  </si>
  <si>
    <t>Lightweight and versatile</t>
  </si>
  <si>
    <t>m</t>
  </si>
  <si>
    <t>Shipped</t>
  </si>
  <si>
    <t>Credit Card</t>
  </si>
  <si>
    <t>Mountain Bikes</t>
  </si>
  <si>
    <t>TrailBlazer 2000</t>
  </si>
  <si>
    <t>High-performance mountain bike</t>
  </si>
  <si>
    <t>l</t>
  </si>
  <si>
    <t>Processing</t>
  </si>
  <si>
    <t>PayPal</t>
  </si>
  <si>
    <t>Road Bikes</t>
  </si>
  <si>
    <t>Racing</t>
  </si>
  <si>
    <t xml:space="preserve">SpeedMaster 1000 </t>
  </si>
  <si>
    <t>Agile and aerodynamic road bike</t>
  </si>
  <si>
    <t>S</t>
  </si>
  <si>
    <t>Cancelled</t>
  </si>
  <si>
    <t>Road BIKES</t>
  </si>
  <si>
    <t>SpeedMaster 2000</t>
  </si>
  <si>
    <t>Premium racing road bike</t>
  </si>
  <si>
    <t>L</t>
  </si>
  <si>
    <t>Touring Bikes</t>
  </si>
  <si>
    <t>Long Distance</t>
  </si>
  <si>
    <t xml:space="preserve">Explorer 1000 </t>
  </si>
  <si>
    <t>Comfortable and durable touring bike</t>
  </si>
  <si>
    <t>M</t>
  </si>
  <si>
    <t>Explorer 2000</t>
  </si>
  <si>
    <t>Advanced touring bike</t>
  </si>
  <si>
    <t>Downhill</t>
  </si>
  <si>
    <t>GravityMaster 1000</t>
  </si>
  <si>
    <t>Rugged and durable downhill bike</t>
  </si>
  <si>
    <t xml:space="preserve">       GravityMaster 2000 </t>
  </si>
  <si>
    <t>Trail</t>
  </si>
  <si>
    <t>Pathfinder 1000</t>
  </si>
  <si>
    <t>Agile trail bike for all skill levels</t>
  </si>
  <si>
    <t>mountain BIKES</t>
  </si>
  <si>
    <t>Pathfinder 2000</t>
  </si>
  <si>
    <t>High-performance trail bike</t>
  </si>
  <si>
    <t>Touring</t>
  </si>
  <si>
    <t xml:space="preserve">    Voyager 1000    </t>
  </si>
  <si>
    <t>Comfortable touring road bike</t>
  </si>
  <si>
    <t>road Bikes</t>
  </si>
  <si>
    <t>Voyager 2000</t>
  </si>
  <si>
    <t>Advanced touring road bike</t>
  </si>
  <si>
    <t>Adventurer 1000</t>
  </si>
  <si>
    <t>Durable bike for long adventures</t>
  </si>
  <si>
    <t>Adventure</t>
  </si>
  <si>
    <t>Adventurer 2000</t>
  </si>
  <si>
    <t>Premium adventure touring bike</t>
  </si>
  <si>
    <t>Enduro</t>
  </si>
  <si>
    <t>EnduroMaster 1000</t>
  </si>
  <si>
    <t>Endurance-focused mountain bike</t>
  </si>
  <si>
    <t>mountain bikes</t>
  </si>
  <si>
    <t>EnduroMaster 2000</t>
  </si>
  <si>
    <t>High-performance enduro mountain bike</t>
  </si>
  <si>
    <t>Fat Bikes</t>
  </si>
  <si>
    <t>FatTrail 1000</t>
  </si>
  <si>
    <t>All-terrain fat bike</t>
  </si>
  <si>
    <t>FatTrail 2000</t>
  </si>
  <si>
    <t>High-performance fat bike</t>
  </si>
  <si>
    <t>Cyclocross</t>
  </si>
  <si>
    <t>CrossRider 1000</t>
  </si>
  <si>
    <t>Versatile cyclocross bike</t>
  </si>
  <si>
    <t>CrossRider 2000</t>
  </si>
  <si>
    <t>Advanced cyclocross bike</t>
  </si>
  <si>
    <t>Tandem</t>
  </si>
  <si>
    <t>DuoExplorer 1000</t>
  </si>
  <si>
    <t>Comfortable tandem touring bike</t>
  </si>
  <si>
    <t>DuoExplorer 2000</t>
  </si>
  <si>
    <t>High-performance tandem touring bike</t>
  </si>
  <si>
    <t>Electric</t>
  </si>
  <si>
    <t>E-Mountain 1000</t>
  </si>
  <si>
    <t>Electric mountain bike</t>
  </si>
  <si>
    <t>E-Mountain 2000</t>
  </si>
  <si>
    <t>High-performance electric mountain bike</t>
  </si>
  <si>
    <t>E-Bikes</t>
  </si>
  <si>
    <t>City</t>
  </si>
  <si>
    <t>UrbanEco 1000</t>
  </si>
  <si>
    <t>Eco-friendly electric city bike</t>
  </si>
  <si>
    <t>s</t>
  </si>
  <si>
    <t>UrbanEco 2000</t>
  </si>
  <si>
    <t>High-performance electric city bike</t>
  </si>
  <si>
    <t>ROAD BIKES</t>
  </si>
  <si>
    <t>Gravel</t>
  </si>
  <si>
    <t>GravelMaster 1000</t>
  </si>
  <si>
    <t>All-terrain gravel bike</t>
  </si>
  <si>
    <t>GravelMaster 2000</t>
  </si>
  <si>
    <t>High-performance gravel bike</t>
  </si>
  <si>
    <t>Folding</t>
  </si>
  <si>
    <t>FoldAway 1000</t>
  </si>
  <si>
    <t>Compact folding touring bike</t>
  </si>
  <si>
    <t>FoldAway 2000</t>
  </si>
  <si>
    <t>Advanced folding touring bike</t>
  </si>
  <si>
    <t>Mountain</t>
  </si>
  <si>
    <t>E-TrailBlazer 1000</t>
  </si>
  <si>
    <t>E-TrailBlazer 2000</t>
  </si>
  <si>
    <t>Hybrid Bikes</t>
  </si>
  <si>
    <t>Commuter</t>
  </si>
  <si>
    <t>CommutePro 1000</t>
  </si>
  <si>
    <t>Efficient commuter hybrid bike</t>
  </si>
  <si>
    <t>CommutePro 2000</t>
  </si>
  <si>
    <t>High-performance commuter hybrid bike</t>
  </si>
  <si>
    <t>Aero</t>
  </si>
  <si>
    <t>AeroSpeed 1000</t>
  </si>
  <si>
    <t>Aerodynamic road bike</t>
  </si>
  <si>
    <t>AeroSpeed 2000</t>
  </si>
  <si>
    <t>Advanced aerodynamic road bike</t>
  </si>
  <si>
    <t>Recumbent</t>
  </si>
  <si>
    <t>ReclineRider 1000</t>
  </si>
  <si>
    <t>Comfortable recumbent touring bike</t>
  </si>
  <si>
    <t>ReclineRider 2000</t>
  </si>
  <si>
    <t>High-performance recumbent touring bike</t>
  </si>
  <si>
    <t>DownhillDominator 1000</t>
  </si>
  <si>
    <t>Downhill mountain bike</t>
  </si>
  <si>
    <t>DownhillDominator 2000</t>
  </si>
  <si>
    <t>High-performance downhill mountain bike</t>
  </si>
  <si>
    <t>Kids Bikes</t>
  </si>
  <si>
    <t>Balance</t>
  </si>
  <si>
    <t>LittleBalancer 1000</t>
  </si>
  <si>
    <t>Starter balance bike for kids</t>
  </si>
  <si>
    <t>LittleBalancer 2000</t>
  </si>
  <si>
    <t>Upgraded balance bike for kids</t>
  </si>
  <si>
    <t>BMX Bikes</t>
  </si>
  <si>
    <t>Freestyle</t>
  </si>
  <si>
    <t>FreestyleMaster 1000</t>
  </si>
  <si>
    <t>Beginner freestyle BMX bike</t>
  </si>
  <si>
    <t>FreestyleMaster 2000</t>
  </si>
  <si>
    <t>Advanced freestyle BMX bike</t>
  </si>
  <si>
    <t>XC-Rider 1000</t>
  </si>
  <si>
    <t>Cross country mountain bike</t>
  </si>
  <si>
    <t>XC-Rider 2000</t>
  </si>
  <si>
    <t>High-performance cross country bike</t>
  </si>
  <si>
    <t>Endurance</t>
  </si>
  <si>
    <t>EnduranceElite 1000</t>
  </si>
  <si>
    <t>Endurance road bike</t>
  </si>
  <si>
    <t>EnduranceElite 2000</t>
  </si>
  <si>
    <t>High-performance endurance road 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</si>
</sst>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33" borderId="0" xfId="0" applyFill="1"/>
    <xf numFmtId="2" fontId="16" fillId="0" borderId="0" xfId="0" applyNumberFormat="1" applyFont="1"/>
    <xf numFmtId="2" fontId="0" fillId="0" borderId="0" xfId="0" applyNumberFormat="1"/>
    <xf numFmtId="1" fontId="16" fillId="0" borderId="0" xfId="0" applyNumberFormat="1" applyFont="1"/>
    <xf numFmtId="1" fontId="0" fillId="0" borderId="0" xfId="0" applyNumberFormat="1"/>
    <xf numFmtId="44" fontId="16" fillId="0" borderId="0" xfId="1" applyFont="1"/>
    <xf numFmtId="44" fontId="0" fillId="0" borderId="0" xfId="1" applyFont="1"/>
    <xf numFmtId="14" fontId="16" fillId="0" borderId="0" xfId="0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0199E-4FD7-49AD-A2CE-07D26BA62B21}">
  <dimension ref="A1:A49"/>
  <sheetViews>
    <sheetView workbookViewId="0">
      <selection sqref="A1:A49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9A756-65FD-4D4F-90B6-552FCD12E419}">
  <sheetPr filterMode="1"/>
  <dimension ref="A1:R49"/>
  <sheetViews>
    <sheetView tabSelected="1" workbookViewId="0">
      <selection activeCell="F8" sqref="F8"/>
    </sheetView>
  </sheetViews>
  <sheetFormatPr defaultRowHeight="14.5" x14ac:dyDescent="0.35"/>
  <cols>
    <col min="1" max="1" width="9.7265625" style="7" bestFit="1" customWidth="1"/>
    <col min="2" max="2" width="15.453125" hidden="1" customWidth="1"/>
    <col min="3" max="3" width="15.453125" customWidth="1"/>
    <col min="4" max="4" width="18.36328125" bestFit="1" customWidth="1"/>
    <col min="5" max="5" width="21.90625" hidden="1" customWidth="1"/>
    <col min="6" max="6" width="21.90625" customWidth="1"/>
    <col min="7" max="7" width="36.6328125" bestFit="1" customWidth="1"/>
    <col min="8" max="8" width="12" style="9" bestFit="1" customWidth="1"/>
    <col min="9" max="9" width="14" style="5" bestFit="1" customWidth="1"/>
    <col min="10" max="10" width="11.08984375" hidden="1" customWidth="1"/>
    <col min="11" max="11" width="11.08984375" customWidth="1"/>
    <col min="12" max="12" width="8.7265625" style="7"/>
    <col min="13" max="13" width="11.26953125" style="7" bestFit="1" customWidth="1"/>
    <col min="14" max="14" width="10.1796875" style="1" bestFit="1" customWidth="1"/>
    <col min="15" max="15" width="11.453125" bestFit="1" customWidth="1"/>
    <col min="16" max="16" width="8.7265625" style="7"/>
    <col min="17" max="17" width="10.453125" style="9" bestFit="1" customWidth="1"/>
    <col min="18" max="18" width="15.54296875" bestFit="1" customWidth="1"/>
  </cols>
  <sheetData>
    <row r="1" spans="1:18" s="2" customFormat="1" x14ac:dyDescent="0.35">
      <c r="A1" s="6" t="s">
        <v>49</v>
      </c>
      <c r="B1" s="2" t="s">
        <v>50</v>
      </c>
      <c r="C1" s="2" t="s">
        <v>50</v>
      </c>
      <c r="D1" s="2" t="s">
        <v>51</v>
      </c>
      <c r="E1" s="2" t="s">
        <v>52</v>
      </c>
      <c r="F1" s="2" t="s">
        <v>52</v>
      </c>
      <c r="G1" s="2" t="s">
        <v>53</v>
      </c>
      <c r="H1" s="8" t="s">
        <v>54</v>
      </c>
      <c r="I1" s="4" t="s">
        <v>55</v>
      </c>
      <c r="J1" s="2" t="s">
        <v>56</v>
      </c>
      <c r="K1" s="2" t="s">
        <v>56</v>
      </c>
      <c r="L1" s="6" t="s">
        <v>57</v>
      </c>
      <c r="M1" s="6" t="s">
        <v>58</v>
      </c>
      <c r="N1" s="10" t="s">
        <v>59</v>
      </c>
      <c r="O1" s="2" t="s">
        <v>60</v>
      </c>
      <c r="P1" s="6" t="s">
        <v>61</v>
      </c>
      <c r="Q1" s="8" t="s">
        <v>62</v>
      </c>
      <c r="R1" s="2" t="s">
        <v>63</v>
      </c>
    </row>
    <row r="2" spans="1:18" x14ac:dyDescent="0.35">
      <c r="A2" s="7">
        <v>1001</v>
      </c>
      <c r="B2" t="s">
        <v>64</v>
      </c>
      <c r="C2" s="3" t="str">
        <f>PROPER(B2)</f>
        <v>Mountain Bikes</v>
      </c>
      <c r="D2" t="s">
        <v>65</v>
      </c>
      <c r="E2" t="s">
        <v>66</v>
      </c>
      <c r="F2" s="3" t="str">
        <f t="shared" ref="F2:F49" si="0">TRIM(E2)</f>
        <v>TrailBlazer 1000</v>
      </c>
      <c r="G2" t="s">
        <v>67</v>
      </c>
      <c r="H2" s="9">
        <v>1200</v>
      </c>
      <c r="I2" s="5">
        <v>25</v>
      </c>
      <c r="J2" t="s">
        <v>68</v>
      </c>
      <c r="K2" s="3" t="str">
        <f>UPPER(J2)</f>
        <v>M</v>
      </c>
      <c r="L2" s="7">
        <v>2001</v>
      </c>
      <c r="M2" s="7">
        <v>3001</v>
      </c>
      <c r="N2" s="1">
        <v>44986</v>
      </c>
      <c r="O2" t="s">
        <v>69</v>
      </c>
      <c r="P2" s="7">
        <v>2</v>
      </c>
      <c r="Q2" s="9">
        <v>2400</v>
      </c>
      <c r="R2" t="s">
        <v>70</v>
      </c>
    </row>
    <row r="3" spans="1:18" x14ac:dyDescent="0.35">
      <c r="A3" s="7">
        <v>1002</v>
      </c>
      <c r="B3" t="s">
        <v>71</v>
      </c>
      <c r="C3" t="str">
        <f t="shared" ref="C3:C49" si="1">PROPER(B3)</f>
        <v>Mountain Bikes</v>
      </c>
      <c r="D3" t="s">
        <v>65</v>
      </c>
      <c r="E3" t="s">
        <v>72</v>
      </c>
      <c r="F3" t="str">
        <f t="shared" si="0"/>
        <v>TrailBlazer 2000</v>
      </c>
      <c r="G3" t="s">
        <v>73</v>
      </c>
      <c r="H3" s="9">
        <v>1500</v>
      </c>
      <c r="I3" s="5">
        <v>22</v>
      </c>
      <c r="J3" t="s">
        <v>74</v>
      </c>
      <c r="K3" t="str">
        <f t="shared" ref="K3:K49" si="2">UPPER(J3)</f>
        <v>L</v>
      </c>
      <c r="L3" s="7">
        <v>2002</v>
      </c>
      <c r="M3" s="7">
        <v>3002</v>
      </c>
      <c r="N3" s="1">
        <v>44987</v>
      </c>
      <c r="O3" t="s">
        <v>75</v>
      </c>
      <c r="P3" s="7">
        <v>1</v>
      </c>
      <c r="Q3" s="9">
        <v>1500</v>
      </c>
      <c r="R3" t="s">
        <v>76</v>
      </c>
    </row>
    <row r="4" spans="1:18" x14ac:dyDescent="0.35">
      <c r="A4" s="7">
        <v>1003</v>
      </c>
      <c r="B4" t="s">
        <v>77</v>
      </c>
      <c r="C4" t="str">
        <f t="shared" si="1"/>
        <v>Road Bikes</v>
      </c>
      <c r="D4" t="s">
        <v>78</v>
      </c>
      <c r="E4" t="s">
        <v>79</v>
      </c>
      <c r="F4" t="str">
        <f t="shared" si="0"/>
        <v>SpeedMaster 1000</v>
      </c>
      <c r="G4" t="s">
        <v>80</v>
      </c>
      <c r="H4" s="9">
        <v>1800</v>
      </c>
      <c r="I4" s="5">
        <v>18</v>
      </c>
      <c r="J4" t="s">
        <v>81</v>
      </c>
      <c r="K4" t="str">
        <f t="shared" si="2"/>
        <v>S</v>
      </c>
      <c r="L4" s="7">
        <v>2003</v>
      </c>
      <c r="M4" s="7">
        <v>3003</v>
      </c>
      <c r="N4" s="1">
        <v>44988</v>
      </c>
      <c r="O4" t="s">
        <v>82</v>
      </c>
      <c r="P4" s="7">
        <v>3</v>
      </c>
      <c r="Q4" s="9">
        <v>5400</v>
      </c>
      <c r="R4" t="s">
        <v>70</v>
      </c>
    </row>
    <row r="5" spans="1:18" x14ac:dyDescent="0.35">
      <c r="A5" s="7">
        <v>1004</v>
      </c>
      <c r="B5" t="s">
        <v>83</v>
      </c>
      <c r="C5" t="str">
        <f t="shared" si="1"/>
        <v>Road Bikes</v>
      </c>
      <c r="D5" t="s">
        <v>78</v>
      </c>
      <c r="E5" t="s">
        <v>84</v>
      </c>
      <c r="F5" t="str">
        <f t="shared" si="0"/>
        <v>SpeedMaster 2000</v>
      </c>
      <c r="G5" t="s">
        <v>85</v>
      </c>
      <c r="H5" s="9">
        <v>2100</v>
      </c>
      <c r="I5" s="5">
        <v>16</v>
      </c>
      <c r="J5" t="s">
        <v>86</v>
      </c>
      <c r="K5" t="str">
        <f t="shared" si="2"/>
        <v>L</v>
      </c>
      <c r="L5" s="7">
        <v>2004</v>
      </c>
      <c r="M5" s="7">
        <v>3004</v>
      </c>
      <c r="N5" s="1">
        <v>44989</v>
      </c>
      <c r="O5" t="s">
        <v>69</v>
      </c>
      <c r="P5" s="7">
        <v>1</v>
      </c>
      <c r="Q5" s="9">
        <v>2100</v>
      </c>
      <c r="R5" t="s">
        <v>70</v>
      </c>
    </row>
    <row r="6" spans="1:18" x14ac:dyDescent="0.35">
      <c r="A6" s="7">
        <v>1005</v>
      </c>
      <c r="B6" t="s">
        <v>87</v>
      </c>
      <c r="C6" t="str">
        <f t="shared" si="1"/>
        <v>Touring Bikes</v>
      </c>
      <c r="D6" t="s">
        <v>88</v>
      </c>
      <c r="E6" t="s">
        <v>89</v>
      </c>
      <c r="F6" t="str">
        <f t="shared" si="0"/>
        <v>Explorer 1000</v>
      </c>
      <c r="G6" t="s">
        <v>90</v>
      </c>
      <c r="H6" s="9">
        <v>1300</v>
      </c>
      <c r="I6" s="5">
        <v>27</v>
      </c>
      <c r="J6" t="s">
        <v>91</v>
      </c>
      <c r="K6" t="str">
        <f t="shared" si="2"/>
        <v>M</v>
      </c>
      <c r="L6" s="7">
        <v>2005</v>
      </c>
      <c r="M6" s="7">
        <v>3005</v>
      </c>
      <c r="N6" s="1">
        <v>44990</v>
      </c>
      <c r="O6" t="s">
        <v>75</v>
      </c>
      <c r="P6" s="7">
        <v>2</v>
      </c>
      <c r="Q6" s="9">
        <v>2600</v>
      </c>
      <c r="R6" t="s">
        <v>76</v>
      </c>
    </row>
    <row r="7" spans="1:18" x14ac:dyDescent="0.35">
      <c r="A7" s="7">
        <v>1006</v>
      </c>
      <c r="B7" t="s">
        <v>87</v>
      </c>
      <c r="C7" t="str">
        <f t="shared" si="1"/>
        <v>Touring Bikes</v>
      </c>
      <c r="D7" t="s">
        <v>88</v>
      </c>
      <c r="E7" t="s">
        <v>92</v>
      </c>
      <c r="F7" t="str">
        <f t="shared" si="0"/>
        <v>Explorer 2000</v>
      </c>
      <c r="G7" t="s">
        <v>93</v>
      </c>
      <c r="H7" s="9">
        <v>1600</v>
      </c>
      <c r="I7" s="5">
        <v>24</v>
      </c>
      <c r="J7" t="s">
        <v>86</v>
      </c>
      <c r="K7" t="str">
        <f t="shared" si="2"/>
        <v>L</v>
      </c>
      <c r="L7" s="7">
        <v>2006</v>
      </c>
      <c r="M7" s="7">
        <v>3006</v>
      </c>
      <c r="N7" s="1">
        <v>44991</v>
      </c>
      <c r="O7" t="s">
        <v>69</v>
      </c>
      <c r="P7" s="7">
        <v>1</v>
      </c>
      <c r="Q7" s="9">
        <v>1600</v>
      </c>
      <c r="R7" t="s">
        <v>70</v>
      </c>
    </row>
    <row r="8" spans="1:18" x14ac:dyDescent="0.35">
      <c r="A8" s="7">
        <v>1007</v>
      </c>
      <c r="B8" t="s">
        <v>71</v>
      </c>
      <c r="C8" t="str">
        <f t="shared" si="1"/>
        <v>Mountain Bikes</v>
      </c>
      <c r="D8" t="s">
        <v>94</v>
      </c>
      <c r="E8" t="s">
        <v>95</v>
      </c>
      <c r="F8" t="str">
        <f t="shared" si="0"/>
        <v>GravityMaster 1000</v>
      </c>
      <c r="G8" t="s">
        <v>96</v>
      </c>
      <c r="H8" s="9">
        <v>2200</v>
      </c>
      <c r="I8" s="5">
        <v>29</v>
      </c>
      <c r="J8" t="s">
        <v>68</v>
      </c>
      <c r="K8" t="str">
        <f t="shared" si="2"/>
        <v>M</v>
      </c>
      <c r="L8" s="7">
        <v>2007</v>
      </c>
      <c r="M8" s="7">
        <v>3007</v>
      </c>
      <c r="N8" s="1">
        <v>44992</v>
      </c>
      <c r="O8" t="s">
        <v>69</v>
      </c>
      <c r="P8" s="7">
        <v>2</v>
      </c>
      <c r="Q8" s="9">
        <v>4400</v>
      </c>
      <c r="R8" t="s">
        <v>76</v>
      </c>
    </row>
    <row r="9" spans="1:18" hidden="1" x14ac:dyDescent="0.35">
      <c r="A9" s="7">
        <v>1008</v>
      </c>
      <c r="B9" t="s">
        <v>71</v>
      </c>
      <c r="C9" t="str">
        <f t="shared" si="1"/>
        <v>Mountain Bikes</v>
      </c>
      <c r="D9" t="s">
        <v>94</v>
      </c>
      <c r="E9" t="s">
        <v>97</v>
      </c>
      <c r="F9" t="str">
        <f t="shared" si="0"/>
        <v>GravityMaster 2000</v>
      </c>
      <c r="H9" s="9">
        <v>2500</v>
      </c>
      <c r="I9" s="5">
        <v>27</v>
      </c>
      <c r="J9" t="s">
        <v>86</v>
      </c>
      <c r="K9" t="str">
        <f t="shared" si="2"/>
        <v>L</v>
      </c>
      <c r="L9" s="7">
        <v>2008</v>
      </c>
      <c r="M9" s="7">
        <v>3008</v>
      </c>
      <c r="N9" s="1">
        <v>44993</v>
      </c>
      <c r="O9" t="s">
        <v>75</v>
      </c>
      <c r="P9" s="7">
        <v>1</v>
      </c>
      <c r="Q9" s="9">
        <v>2500</v>
      </c>
      <c r="R9" t="s">
        <v>70</v>
      </c>
    </row>
    <row r="10" spans="1:18" x14ac:dyDescent="0.35">
      <c r="A10" s="7">
        <v>1021</v>
      </c>
      <c r="B10" t="s">
        <v>71</v>
      </c>
      <c r="C10" t="str">
        <f t="shared" si="1"/>
        <v>Mountain Bikes</v>
      </c>
      <c r="D10" t="s">
        <v>98</v>
      </c>
      <c r="E10" t="s">
        <v>99</v>
      </c>
      <c r="F10" t="str">
        <f t="shared" si="0"/>
        <v>Pathfinder 1000</v>
      </c>
      <c r="G10" t="s">
        <v>100</v>
      </c>
      <c r="H10" s="9">
        <v>1100</v>
      </c>
      <c r="I10" s="5">
        <v>24</v>
      </c>
      <c r="J10" t="s">
        <v>91</v>
      </c>
      <c r="K10" t="str">
        <f t="shared" si="2"/>
        <v>M</v>
      </c>
      <c r="L10" s="7">
        <v>2021</v>
      </c>
      <c r="M10" s="7">
        <v>3021</v>
      </c>
      <c r="N10" s="1">
        <v>45006</v>
      </c>
      <c r="O10" t="s">
        <v>69</v>
      </c>
      <c r="P10" s="7">
        <v>2</v>
      </c>
      <c r="Q10" s="9">
        <v>2200</v>
      </c>
      <c r="R10" t="s">
        <v>70</v>
      </c>
    </row>
    <row r="11" spans="1:18" x14ac:dyDescent="0.35">
      <c r="A11" s="7">
        <v>1022</v>
      </c>
      <c r="B11" t="s">
        <v>101</v>
      </c>
      <c r="C11" t="str">
        <f t="shared" si="1"/>
        <v>Mountain Bikes</v>
      </c>
      <c r="D11" t="s">
        <v>98</v>
      </c>
      <c r="E11" t="s">
        <v>102</v>
      </c>
      <c r="F11" t="str">
        <f t="shared" si="0"/>
        <v>Pathfinder 2000</v>
      </c>
      <c r="G11" t="s">
        <v>103</v>
      </c>
      <c r="H11" s="9">
        <v>1400</v>
      </c>
      <c r="I11" s="5">
        <v>21</v>
      </c>
      <c r="J11" t="s">
        <v>74</v>
      </c>
      <c r="K11" t="str">
        <f t="shared" si="2"/>
        <v>L</v>
      </c>
      <c r="L11" s="7">
        <v>2022</v>
      </c>
      <c r="M11" s="7">
        <v>3022</v>
      </c>
      <c r="N11" s="1">
        <v>45007</v>
      </c>
      <c r="O11" t="s">
        <v>75</v>
      </c>
      <c r="P11" s="7">
        <v>1</v>
      </c>
      <c r="Q11" s="9">
        <v>1400</v>
      </c>
      <c r="R11" t="s">
        <v>76</v>
      </c>
    </row>
    <row r="12" spans="1:18" x14ac:dyDescent="0.35">
      <c r="A12" s="7">
        <v>1023</v>
      </c>
      <c r="B12" t="s">
        <v>77</v>
      </c>
      <c r="C12" t="str">
        <f t="shared" si="1"/>
        <v>Road Bikes</v>
      </c>
      <c r="D12" t="s">
        <v>104</v>
      </c>
      <c r="E12" t="s">
        <v>105</v>
      </c>
      <c r="F12" t="str">
        <f t="shared" si="0"/>
        <v>Voyager 1000</v>
      </c>
      <c r="G12" t="s">
        <v>106</v>
      </c>
      <c r="H12" s="9">
        <v>1700</v>
      </c>
      <c r="I12" s="5">
        <v>20</v>
      </c>
      <c r="J12" t="s">
        <v>91</v>
      </c>
      <c r="K12" t="str">
        <f t="shared" si="2"/>
        <v>M</v>
      </c>
      <c r="L12" s="7">
        <v>2023</v>
      </c>
      <c r="M12" s="7">
        <v>3023</v>
      </c>
      <c r="N12" s="1">
        <v>45008</v>
      </c>
      <c r="O12" t="s">
        <v>82</v>
      </c>
      <c r="P12" s="7">
        <v>3</v>
      </c>
      <c r="Q12" s="9">
        <v>5100</v>
      </c>
      <c r="R12" t="s">
        <v>70</v>
      </c>
    </row>
    <row r="13" spans="1:18" x14ac:dyDescent="0.35">
      <c r="A13" s="7">
        <v>1024</v>
      </c>
      <c r="B13" t="s">
        <v>107</v>
      </c>
      <c r="C13" t="str">
        <f t="shared" si="1"/>
        <v>Road Bikes</v>
      </c>
      <c r="D13" t="s">
        <v>104</v>
      </c>
      <c r="E13" t="s">
        <v>108</v>
      </c>
      <c r="F13" t="str">
        <f t="shared" si="0"/>
        <v>Voyager 2000</v>
      </c>
      <c r="G13" t="s">
        <v>109</v>
      </c>
      <c r="H13" s="9">
        <v>2000</v>
      </c>
      <c r="I13" s="5">
        <v>18</v>
      </c>
      <c r="J13" t="s">
        <v>86</v>
      </c>
      <c r="K13" t="str">
        <f t="shared" si="2"/>
        <v>L</v>
      </c>
      <c r="L13" s="7">
        <v>2024</v>
      </c>
      <c r="M13" s="7">
        <v>3024</v>
      </c>
      <c r="N13" s="1">
        <v>45009</v>
      </c>
      <c r="O13" t="s">
        <v>69</v>
      </c>
      <c r="P13" s="7">
        <v>1</v>
      </c>
      <c r="Q13" s="9">
        <v>2000</v>
      </c>
      <c r="R13" t="s">
        <v>70</v>
      </c>
    </row>
    <row r="14" spans="1:18" x14ac:dyDescent="0.35">
      <c r="A14" s="7">
        <v>1025</v>
      </c>
      <c r="B14" t="s">
        <v>87</v>
      </c>
      <c r="C14" t="str">
        <f t="shared" si="1"/>
        <v>Touring Bikes</v>
      </c>
      <c r="E14" t="s">
        <v>110</v>
      </c>
      <c r="F14" t="str">
        <f t="shared" si="0"/>
        <v>Adventurer 1000</v>
      </c>
      <c r="G14" t="s">
        <v>111</v>
      </c>
      <c r="H14" s="9">
        <v>1500</v>
      </c>
      <c r="I14" s="5">
        <v>28</v>
      </c>
      <c r="J14" t="s">
        <v>68</v>
      </c>
      <c r="K14" t="str">
        <f t="shared" si="2"/>
        <v>M</v>
      </c>
      <c r="L14" s="7">
        <v>2025</v>
      </c>
      <c r="M14" s="7">
        <v>3025</v>
      </c>
      <c r="N14" s="1">
        <v>45010</v>
      </c>
      <c r="O14" t="s">
        <v>75</v>
      </c>
      <c r="P14" s="7">
        <v>2</v>
      </c>
      <c r="Q14" s="9">
        <v>3000</v>
      </c>
      <c r="R14" t="s">
        <v>76</v>
      </c>
    </row>
    <row r="15" spans="1:18" x14ac:dyDescent="0.35">
      <c r="A15" s="7">
        <v>1026</v>
      </c>
      <c r="B15" t="s">
        <v>87</v>
      </c>
      <c r="C15" t="str">
        <f t="shared" si="1"/>
        <v>Touring Bikes</v>
      </c>
      <c r="D15" t="s">
        <v>112</v>
      </c>
      <c r="E15" t="s">
        <v>113</v>
      </c>
      <c r="F15" t="str">
        <f t="shared" si="0"/>
        <v>Adventurer 2000</v>
      </c>
      <c r="G15" t="s">
        <v>114</v>
      </c>
      <c r="H15" s="9">
        <v>1800</v>
      </c>
      <c r="I15" s="5">
        <v>26</v>
      </c>
      <c r="J15" t="s">
        <v>86</v>
      </c>
      <c r="K15" t="str">
        <f t="shared" si="2"/>
        <v>L</v>
      </c>
      <c r="L15" s="7">
        <v>2026</v>
      </c>
      <c r="M15" s="7">
        <v>3026</v>
      </c>
      <c r="N15" s="1">
        <v>45011</v>
      </c>
      <c r="O15" t="s">
        <v>69</v>
      </c>
      <c r="P15" s="7">
        <v>1</v>
      </c>
      <c r="Q15" s="9">
        <v>1800</v>
      </c>
      <c r="R15" t="s">
        <v>70</v>
      </c>
    </row>
    <row r="16" spans="1:18" x14ac:dyDescent="0.35">
      <c r="A16" s="7">
        <v>1027</v>
      </c>
      <c r="B16" t="s">
        <v>71</v>
      </c>
      <c r="C16" t="str">
        <f t="shared" si="1"/>
        <v>Mountain Bikes</v>
      </c>
      <c r="D16" t="s">
        <v>115</v>
      </c>
      <c r="E16" t="s">
        <v>116</v>
      </c>
      <c r="F16" t="str">
        <f t="shared" si="0"/>
        <v>EnduroMaster 1000</v>
      </c>
      <c r="G16" t="s">
        <v>117</v>
      </c>
      <c r="H16" s="9">
        <v>2300</v>
      </c>
      <c r="I16" s="5">
        <v>30</v>
      </c>
      <c r="J16" t="s">
        <v>81</v>
      </c>
      <c r="K16" t="str">
        <f t="shared" si="2"/>
        <v>S</v>
      </c>
      <c r="L16" s="7">
        <v>2027</v>
      </c>
      <c r="M16" s="7">
        <v>3027</v>
      </c>
      <c r="N16" s="1">
        <v>45012</v>
      </c>
      <c r="O16" t="s">
        <v>69</v>
      </c>
      <c r="P16" s="7">
        <v>2</v>
      </c>
      <c r="Q16" s="9">
        <v>4600</v>
      </c>
      <c r="R16" t="s">
        <v>76</v>
      </c>
    </row>
    <row r="17" spans="1:18" x14ac:dyDescent="0.35">
      <c r="A17" s="7">
        <v>1028</v>
      </c>
      <c r="B17" t="s">
        <v>118</v>
      </c>
      <c r="C17" t="str">
        <f t="shared" si="1"/>
        <v>Mountain Bikes</v>
      </c>
      <c r="D17" t="s">
        <v>115</v>
      </c>
      <c r="E17" t="s">
        <v>119</v>
      </c>
      <c r="F17" t="str">
        <f t="shared" si="0"/>
        <v>EnduroMaster 2000</v>
      </c>
      <c r="G17" t="s">
        <v>120</v>
      </c>
      <c r="H17" s="9">
        <v>2600</v>
      </c>
      <c r="I17" s="5">
        <v>28</v>
      </c>
      <c r="J17" t="s">
        <v>86</v>
      </c>
      <c r="K17" t="str">
        <f t="shared" si="2"/>
        <v>L</v>
      </c>
      <c r="L17" s="7">
        <v>2028</v>
      </c>
      <c r="M17" s="7">
        <v>3028</v>
      </c>
      <c r="N17" s="1">
        <v>45013</v>
      </c>
      <c r="O17" t="s">
        <v>75</v>
      </c>
      <c r="P17" s="7">
        <v>1</v>
      </c>
      <c r="Q17" s="9">
        <v>2600</v>
      </c>
      <c r="R17" t="s">
        <v>70</v>
      </c>
    </row>
    <row r="18" spans="1:18" x14ac:dyDescent="0.35">
      <c r="A18" s="7">
        <v>1041</v>
      </c>
      <c r="B18" t="s">
        <v>71</v>
      </c>
      <c r="C18" t="str">
        <f t="shared" si="1"/>
        <v>Mountain Bikes</v>
      </c>
      <c r="D18" t="s">
        <v>121</v>
      </c>
      <c r="E18" t="s">
        <v>122</v>
      </c>
      <c r="F18" t="str">
        <f t="shared" si="0"/>
        <v>FatTrail 1000</v>
      </c>
      <c r="G18" t="s">
        <v>123</v>
      </c>
      <c r="H18" s="9">
        <v>1300</v>
      </c>
      <c r="I18" s="5">
        <v>32</v>
      </c>
      <c r="J18" t="s">
        <v>68</v>
      </c>
      <c r="K18" t="str">
        <f t="shared" si="2"/>
        <v>M</v>
      </c>
      <c r="L18" s="7">
        <v>2041</v>
      </c>
      <c r="M18" s="7">
        <v>3041</v>
      </c>
      <c r="N18" s="1">
        <v>44996</v>
      </c>
      <c r="O18" t="s">
        <v>69</v>
      </c>
      <c r="P18" s="7">
        <v>2</v>
      </c>
      <c r="Q18" s="9">
        <v>2600</v>
      </c>
      <c r="R18" t="s">
        <v>70</v>
      </c>
    </row>
    <row r="19" spans="1:18" x14ac:dyDescent="0.35">
      <c r="A19" s="7">
        <v>1042</v>
      </c>
      <c r="B19" t="s">
        <v>71</v>
      </c>
      <c r="C19" t="str">
        <f t="shared" si="1"/>
        <v>Mountain Bikes</v>
      </c>
      <c r="D19" t="s">
        <v>121</v>
      </c>
      <c r="E19" t="s">
        <v>124</v>
      </c>
      <c r="F19" t="str">
        <f t="shared" si="0"/>
        <v>FatTrail 2000</v>
      </c>
      <c r="G19" t="s">
        <v>125</v>
      </c>
      <c r="H19" s="9">
        <v>1600</v>
      </c>
      <c r="I19" s="5">
        <v>29</v>
      </c>
      <c r="J19" t="s">
        <v>86</v>
      </c>
      <c r="K19" t="str">
        <f t="shared" si="2"/>
        <v>L</v>
      </c>
      <c r="L19" s="7">
        <v>2042</v>
      </c>
      <c r="M19" s="7">
        <v>3042</v>
      </c>
      <c r="N19" s="1">
        <v>44997</v>
      </c>
      <c r="O19" t="s">
        <v>75</v>
      </c>
      <c r="P19" s="7">
        <v>1</v>
      </c>
      <c r="Q19" s="9">
        <v>1600</v>
      </c>
      <c r="R19" t="s">
        <v>76</v>
      </c>
    </row>
    <row r="20" spans="1:18" x14ac:dyDescent="0.35">
      <c r="A20" s="7">
        <v>1043</v>
      </c>
      <c r="B20" t="s">
        <v>77</v>
      </c>
      <c r="C20" t="str">
        <f t="shared" si="1"/>
        <v>Road Bikes</v>
      </c>
      <c r="D20" t="s">
        <v>126</v>
      </c>
      <c r="E20" t="s">
        <v>127</v>
      </c>
      <c r="F20" t="str">
        <f t="shared" si="0"/>
        <v>CrossRider 1000</v>
      </c>
      <c r="G20" t="s">
        <v>128</v>
      </c>
      <c r="H20" s="9">
        <v>1900</v>
      </c>
      <c r="I20" s="5">
        <v>21</v>
      </c>
      <c r="J20" t="s">
        <v>91</v>
      </c>
      <c r="K20" t="str">
        <f t="shared" si="2"/>
        <v>M</v>
      </c>
      <c r="L20" s="7">
        <v>2043</v>
      </c>
      <c r="M20" s="7">
        <v>3043</v>
      </c>
      <c r="N20" s="1">
        <v>44998</v>
      </c>
      <c r="O20" t="s">
        <v>82</v>
      </c>
      <c r="P20" s="7">
        <v>3</v>
      </c>
      <c r="Q20" s="9">
        <v>5700</v>
      </c>
      <c r="R20" t="s">
        <v>70</v>
      </c>
    </row>
    <row r="21" spans="1:18" x14ac:dyDescent="0.35">
      <c r="A21" s="7">
        <v>1044</v>
      </c>
      <c r="B21" t="s">
        <v>77</v>
      </c>
      <c r="C21" t="str">
        <f t="shared" si="1"/>
        <v>Road Bikes</v>
      </c>
      <c r="D21" t="s">
        <v>126</v>
      </c>
      <c r="E21" t="s">
        <v>129</v>
      </c>
      <c r="F21" t="str">
        <f t="shared" si="0"/>
        <v>CrossRider 2000</v>
      </c>
      <c r="G21" t="s">
        <v>130</v>
      </c>
      <c r="H21" s="9">
        <v>2200</v>
      </c>
      <c r="I21" s="5">
        <v>19</v>
      </c>
      <c r="J21" t="s">
        <v>86</v>
      </c>
      <c r="K21" t="str">
        <f t="shared" si="2"/>
        <v>L</v>
      </c>
      <c r="L21" s="7">
        <v>2044</v>
      </c>
      <c r="M21" s="7">
        <v>3044</v>
      </c>
      <c r="N21" s="1">
        <v>44999</v>
      </c>
      <c r="O21" t="s">
        <v>69</v>
      </c>
      <c r="P21" s="7">
        <v>1</v>
      </c>
      <c r="Q21" s="9">
        <v>2200</v>
      </c>
      <c r="R21" t="s">
        <v>70</v>
      </c>
    </row>
    <row r="22" spans="1:18" x14ac:dyDescent="0.35">
      <c r="A22" s="7">
        <v>1045</v>
      </c>
      <c r="B22" t="s">
        <v>87</v>
      </c>
      <c r="C22" t="str">
        <f t="shared" si="1"/>
        <v>Touring Bikes</v>
      </c>
      <c r="D22" t="s">
        <v>131</v>
      </c>
      <c r="E22" t="s">
        <v>132</v>
      </c>
      <c r="F22" t="str">
        <f t="shared" si="0"/>
        <v>DuoExplorer 1000</v>
      </c>
      <c r="G22" t="s">
        <v>133</v>
      </c>
      <c r="H22" s="9">
        <v>2000</v>
      </c>
      <c r="I22" s="5">
        <v>36</v>
      </c>
      <c r="J22" t="s">
        <v>91</v>
      </c>
      <c r="K22" t="str">
        <f t="shared" si="2"/>
        <v>M</v>
      </c>
      <c r="L22" s="7">
        <v>2045</v>
      </c>
      <c r="M22" s="7">
        <v>3045</v>
      </c>
      <c r="N22" s="1">
        <v>45000</v>
      </c>
      <c r="O22" t="s">
        <v>75</v>
      </c>
      <c r="P22" s="7">
        <v>2</v>
      </c>
      <c r="Q22" s="9">
        <v>4000</v>
      </c>
      <c r="R22" t="s">
        <v>76</v>
      </c>
    </row>
    <row r="23" spans="1:18" x14ac:dyDescent="0.35">
      <c r="A23" s="7">
        <v>1046</v>
      </c>
      <c r="B23" t="s">
        <v>87</v>
      </c>
      <c r="C23" t="str">
        <f t="shared" si="1"/>
        <v>Touring Bikes</v>
      </c>
      <c r="D23" t="s">
        <v>131</v>
      </c>
      <c r="E23" t="s">
        <v>134</v>
      </c>
      <c r="F23" t="str">
        <f t="shared" si="0"/>
        <v>DuoExplorer 2000</v>
      </c>
      <c r="G23" t="s">
        <v>135</v>
      </c>
      <c r="H23" s="9">
        <v>2300</v>
      </c>
      <c r="I23" s="5">
        <v>34</v>
      </c>
      <c r="J23" t="s">
        <v>86</v>
      </c>
      <c r="K23" t="str">
        <f t="shared" si="2"/>
        <v>L</v>
      </c>
      <c r="L23" s="7">
        <v>2046</v>
      </c>
      <c r="M23" s="7">
        <v>3046</v>
      </c>
      <c r="N23" s="1">
        <v>45001</v>
      </c>
      <c r="O23" t="s">
        <v>69</v>
      </c>
      <c r="P23" s="7">
        <v>1</v>
      </c>
      <c r="Q23" s="9">
        <v>2300</v>
      </c>
      <c r="R23" t="s">
        <v>70</v>
      </c>
    </row>
    <row r="24" spans="1:18" x14ac:dyDescent="0.35">
      <c r="A24" s="7">
        <v>1047</v>
      </c>
      <c r="B24" t="s">
        <v>71</v>
      </c>
      <c r="C24" t="str">
        <f t="shared" si="1"/>
        <v>Mountain Bikes</v>
      </c>
      <c r="D24" t="s">
        <v>136</v>
      </c>
      <c r="E24" t="s">
        <v>137</v>
      </c>
      <c r="F24" t="str">
        <f t="shared" si="0"/>
        <v>E-Mountain 1000</v>
      </c>
      <c r="G24" t="s">
        <v>138</v>
      </c>
      <c r="H24" s="9">
        <v>3000</v>
      </c>
      <c r="I24" s="5">
        <v>40</v>
      </c>
      <c r="J24" t="s">
        <v>91</v>
      </c>
      <c r="K24" t="str">
        <f t="shared" si="2"/>
        <v>M</v>
      </c>
      <c r="L24" s="7">
        <v>2047</v>
      </c>
      <c r="M24" s="7">
        <v>3047</v>
      </c>
      <c r="N24" s="1">
        <v>45002</v>
      </c>
      <c r="O24" t="s">
        <v>69</v>
      </c>
      <c r="P24" s="7">
        <v>2</v>
      </c>
      <c r="Q24" s="9">
        <v>6000</v>
      </c>
      <c r="R24" t="s">
        <v>76</v>
      </c>
    </row>
    <row r="25" spans="1:18" x14ac:dyDescent="0.35">
      <c r="A25" s="7">
        <v>1048</v>
      </c>
      <c r="B25" t="s">
        <v>71</v>
      </c>
      <c r="C25" t="str">
        <f t="shared" si="1"/>
        <v>Mountain Bikes</v>
      </c>
      <c r="D25" t="s">
        <v>136</v>
      </c>
      <c r="E25" t="s">
        <v>139</v>
      </c>
      <c r="F25" t="str">
        <f t="shared" si="0"/>
        <v>E-Mountain 2000</v>
      </c>
      <c r="G25" t="s">
        <v>140</v>
      </c>
      <c r="H25" s="9">
        <v>3500</v>
      </c>
      <c r="I25" s="5">
        <v>38</v>
      </c>
      <c r="J25" t="s">
        <v>86</v>
      </c>
      <c r="K25" t="str">
        <f t="shared" si="2"/>
        <v>L</v>
      </c>
      <c r="L25" s="7">
        <v>2048</v>
      </c>
      <c r="M25" s="7">
        <v>3048</v>
      </c>
      <c r="N25" s="1">
        <v>45003</v>
      </c>
      <c r="O25" t="s">
        <v>75</v>
      </c>
      <c r="P25" s="7">
        <v>1</v>
      </c>
      <c r="Q25" s="9">
        <v>3500</v>
      </c>
      <c r="R25" t="s">
        <v>70</v>
      </c>
    </row>
    <row r="26" spans="1:18" x14ac:dyDescent="0.35">
      <c r="A26" s="7">
        <v>1061</v>
      </c>
      <c r="B26" t="s">
        <v>141</v>
      </c>
      <c r="C26" t="str">
        <f t="shared" si="1"/>
        <v>E-Bikes</v>
      </c>
      <c r="D26" t="s">
        <v>142</v>
      </c>
      <c r="E26" t="s">
        <v>143</v>
      </c>
      <c r="F26" t="str">
        <f t="shared" si="0"/>
        <v>UrbanEco 1000</v>
      </c>
      <c r="G26" t="s">
        <v>144</v>
      </c>
      <c r="H26" s="9">
        <v>2000</v>
      </c>
      <c r="I26" s="5">
        <v>35</v>
      </c>
      <c r="J26" t="s">
        <v>145</v>
      </c>
      <c r="K26" t="str">
        <f t="shared" si="2"/>
        <v>S</v>
      </c>
      <c r="L26" s="7">
        <v>2061</v>
      </c>
      <c r="M26" s="7">
        <v>3061</v>
      </c>
      <c r="N26" s="1">
        <v>44986</v>
      </c>
      <c r="O26" t="s">
        <v>69</v>
      </c>
      <c r="P26" s="7">
        <v>2</v>
      </c>
      <c r="Q26" s="9">
        <v>4000</v>
      </c>
      <c r="R26" t="s">
        <v>70</v>
      </c>
    </row>
    <row r="27" spans="1:18" x14ac:dyDescent="0.35">
      <c r="A27" s="7">
        <v>1062</v>
      </c>
      <c r="B27" t="s">
        <v>141</v>
      </c>
      <c r="C27" t="str">
        <f t="shared" si="1"/>
        <v>E-Bikes</v>
      </c>
      <c r="D27" t="s">
        <v>142</v>
      </c>
      <c r="E27" t="s">
        <v>146</v>
      </c>
      <c r="F27" t="str">
        <f t="shared" si="0"/>
        <v>UrbanEco 2000</v>
      </c>
      <c r="G27" t="s">
        <v>147</v>
      </c>
      <c r="H27" s="9">
        <v>2500</v>
      </c>
      <c r="I27" s="5">
        <v>33</v>
      </c>
      <c r="J27" t="s">
        <v>86</v>
      </c>
      <c r="K27" t="str">
        <f t="shared" si="2"/>
        <v>L</v>
      </c>
      <c r="L27" s="7">
        <v>2062</v>
      </c>
      <c r="M27" s="7">
        <v>3062</v>
      </c>
      <c r="N27" s="1">
        <v>44987</v>
      </c>
      <c r="O27" t="s">
        <v>75</v>
      </c>
      <c r="P27" s="7">
        <v>1</v>
      </c>
      <c r="Q27" s="9">
        <v>2500</v>
      </c>
      <c r="R27" t="s">
        <v>76</v>
      </c>
    </row>
    <row r="28" spans="1:18" x14ac:dyDescent="0.35">
      <c r="A28" s="7">
        <v>1063</v>
      </c>
      <c r="B28" t="s">
        <v>148</v>
      </c>
      <c r="C28" t="str">
        <f t="shared" si="1"/>
        <v>Road Bikes</v>
      </c>
      <c r="D28" t="s">
        <v>149</v>
      </c>
      <c r="E28" t="s">
        <v>150</v>
      </c>
      <c r="F28" t="str">
        <f t="shared" si="0"/>
        <v>GravelMaster 1000</v>
      </c>
      <c r="G28" t="s">
        <v>151</v>
      </c>
      <c r="H28" s="9">
        <v>1700</v>
      </c>
      <c r="I28" s="5">
        <v>22</v>
      </c>
      <c r="J28" t="s">
        <v>91</v>
      </c>
      <c r="K28" t="str">
        <f t="shared" si="2"/>
        <v>M</v>
      </c>
      <c r="L28" s="7">
        <v>2063</v>
      </c>
      <c r="M28" s="7">
        <v>3063</v>
      </c>
      <c r="N28" s="1">
        <v>44988</v>
      </c>
      <c r="O28" t="s">
        <v>82</v>
      </c>
      <c r="P28" s="7">
        <v>3</v>
      </c>
      <c r="Q28" s="9">
        <v>5100</v>
      </c>
      <c r="R28" t="s">
        <v>70</v>
      </c>
    </row>
    <row r="29" spans="1:18" x14ac:dyDescent="0.35">
      <c r="A29" s="7">
        <v>1064</v>
      </c>
      <c r="B29" t="s">
        <v>77</v>
      </c>
      <c r="C29" t="str">
        <f t="shared" si="1"/>
        <v>Road Bikes</v>
      </c>
      <c r="D29" t="s">
        <v>149</v>
      </c>
      <c r="E29" t="s">
        <v>152</v>
      </c>
      <c r="F29" t="str">
        <f t="shared" si="0"/>
        <v>GravelMaster 2000</v>
      </c>
      <c r="G29" t="s">
        <v>153</v>
      </c>
      <c r="H29" s="9">
        <v>2100</v>
      </c>
      <c r="I29" s="5">
        <v>20</v>
      </c>
      <c r="J29" t="s">
        <v>86</v>
      </c>
      <c r="K29" t="str">
        <f t="shared" si="2"/>
        <v>L</v>
      </c>
      <c r="L29" s="7">
        <v>2064</v>
      </c>
      <c r="M29" s="7">
        <v>3064</v>
      </c>
      <c r="N29" s="1">
        <v>44989</v>
      </c>
      <c r="O29" t="s">
        <v>69</v>
      </c>
      <c r="P29" s="7">
        <v>1</v>
      </c>
      <c r="Q29" s="9">
        <v>2100</v>
      </c>
      <c r="R29" t="s">
        <v>70</v>
      </c>
    </row>
    <row r="30" spans="1:18" x14ac:dyDescent="0.35">
      <c r="A30" s="7">
        <v>1065</v>
      </c>
      <c r="B30" t="s">
        <v>87</v>
      </c>
      <c r="C30" t="str">
        <f t="shared" si="1"/>
        <v>Touring Bikes</v>
      </c>
      <c r="D30" t="s">
        <v>154</v>
      </c>
      <c r="E30" t="s">
        <v>155</v>
      </c>
      <c r="F30" t="str">
        <f t="shared" si="0"/>
        <v>FoldAway 1000</v>
      </c>
      <c r="G30" t="s">
        <v>156</v>
      </c>
      <c r="H30" s="9">
        <v>1500</v>
      </c>
      <c r="I30" s="5">
        <v>30</v>
      </c>
      <c r="J30" t="s">
        <v>91</v>
      </c>
      <c r="K30" t="str">
        <f t="shared" si="2"/>
        <v>M</v>
      </c>
      <c r="L30" s="7">
        <v>2065</v>
      </c>
      <c r="M30" s="7">
        <v>3065</v>
      </c>
      <c r="N30" s="1">
        <v>44990</v>
      </c>
      <c r="O30" t="s">
        <v>75</v>
      </c>
      <c r="P30" s="7">
        <v>2</v>
      </c>
      <c r="Q30" s="9">
        <v>3000</v>
      </c>
      <c r="R30" t="s">
        <v>76</v>
      </c>
    </row>
    <row r="31" spans="1:18" x14ac:dyDescent="0.35">
      <c r="A31" s="7">
        <v>1066</v>
      </c>
      <c r="B31" t="s">
        <v>87</v>
      </c>
      <c r="C31" t="str">
        <f t="shared" si="1"/>
        <v>Touring Bikes</v>
      </c>
      <c r="D31" t="s">
        <v>154</v>
      </c>
      <c r="E31" t="s">
        <v>157</v>
      </c>
      <c r="F31" t="str">
        <f t="shared" si="0"/>
        <v>FoldAway 2000</v>
      </c>
      <c r="G31" t="s">
        <v>158</v>
      </c>
      <c r="H31" s="9">
        <v>1800</v>
      </c>
      <c r="I31" s="5">
        <v>28</v>
      </c>
      <c r="J31" t="s">
        <v>86</v>
      </c>
      <c r="K31" t="str">
        <f t="shared" si="2"/>
        <v>L</v>
      </c>
      <c r="L31" s="7">
        <v>2066</v>
      </c>
      <c r="M31" s="7">
        <v>3066</v>
      </c>
      <c r="N31" s="1">
        <v>44991</v>
      </c>
      <c r="O31" t="s">
        <v>69</v>
      </c>
      <c r="P31" s="7">
        <v>1</v>
      </c>
      <c r="Q31" s="9">
        <v>1800</v>
      </c>
      <c r="R31" t="s">
        <v>70</v>
      </c>
    </row>
    <row r="32" spans="1:18" x14ac:dyDescent="0.35">
      <c r="A32" s="7">
        <v>1067</v>
      </c>
      <c r="B32" t="s">
        <v>141</v>
      </c>
      <c r="C32" t="str">
        <f t="shared" si="1"/>
        <v>E-Bikes</v>
      </c>
      <c r="D32" t="s">
        <v>159</v>
      </c>
      <c r="E32" t="s">
        <v>160</v>
      </c>
      <c r="F32" t="str">
        <f t="shared" si="0"/>
        <v>E-TrailBlazer 1000</v>
      </c>
      <c r="G32" t="s">
        <v>138</v>
      </c>
      <c r="H32" s="9">
        <v>3200</v>
      </c>
      <c r="I32" s="5">
        <v>42</v>
      </c>
      <c r="J32" t="s">
        <v>91</v>
      </c>
      <c r="K32" t="str">
        <f t="shared" si="2"/>
        <v>M</v>
      </c>
      <c r="L32" s="7">
        <v>2067</v>
      </c>
      <c r="M32" s="7">
        <v>3067</v>
      </c>
      <c r="N32" s="1">
        <v>44992</v>
      </c>
      <c r="O32" t="s">
        <v>69</v>
      </c>
      <c r="P32" s="7">
        <v>2</v>
      </c>
      <c r="Q32" s="9">
        <v>6400</v>
      </c>
      <c r="R32" t="s">
        <v>76</v>
      </c>
    </row>
    <row r="33" spans="1:18" x14ac:dyDescent="0.35">
      <c r="A33" s="7">
        <v>1068</v>
      </c>
      <c r="B33" t="s">
        <v>141</v>
      </c>
      <c r="C33" t="str">
        <f t="shared" si="1"/>
        <v>E-Bikes</v>
      </c>
      <c r="D33" t="s">
        <v>159</v>
      </c>
      <c r="E33" t="s">
        <v>161</v>
      </c>
      <c r="F33" t="str">
        <f t="shared" si="0"/>
        <v>E-TrailBlazer 2000</v>
      </c>
      <c r="G33" t="s">
        <v>140</v>
      </c>
      <c r="H33" s="9">
        <v>3700</v>
      </c>
      <c r="I33" s="5">
        <v>40</v>
      </c>
      <c r="J33" t="s">
        <v>86</v>
      </c>
      <c r="K33" t="str">
        <f t="shared" si="2"/>
        <v>L</v>
      </c>
      <c r="L33" s="7">
        <v>2068</v>
      </c>
      <c r="M33" s="7">
        <v>3068</v>
      </c>
      <c r="N33" s="1">
        <v>44993</v>
      </c>
      <c r="O33" t="s">
        <v>75</v>
      </c>
      <c r="P33" s="7">
        <v>1</v>
      </c>
      <c r="Q33" s="9">
        <v>3700</v>
      </c>
      <c r="R33" t="s">
        <v>70</v>
      </c>
    </row>
    <row r="34" spans="1:18" x14ac:dyDescent="0.35">
      <c r="A34" s="7">
        <v>1081</v>
      </c>
      <c r="B34" t="s">
        <v>162</v>
      </c>
      <c r="C34" t="str">
        <f t="shared" si="1"/>
        <v>Hybrid Bikes</v>
      </c>
      <c r="D34" t="s">
        <v>163</v>
      </c>
      <c r="E34" t="s">
        <v>164</v>
      </c>
      <c r="F34" t="str">
        <f t="shared" si="0"/>
        <v>CommutePro 1000</v>
      </c>
      <c r="G34" t="s">
        <v>165</v>
      </c>
      <c r="H34" s="9">
        <v>1200</v>
      </c>
      <c r="I34" s="5">
        <v>27</v>
      </c>
      <c r="J34" t="s">
        <v>91</v>
      </c>
      <c r="K34" t="str">
        <f t="shared" si="2"/>
        <v>M</v>
      </c>
      <c r="L34" s="7">
        <v>2081</v>
      </c>
      <c r="M34" s="7">
        <v>3081</v>
      </c>
      <c r="N34" s="1">
        <v>44976</v>
      </c>
      <c r="O34" t="s">
        <v>69</v>
      </c>
      <c r="P34" s="7">
        <v>2</v>
      </c>
      <c r="Q34" s="9">
        <v>2400</v>
      </c>
      <c r="R34" t="s">
        <v>70</v>
      </c>
    </row>
    <row r="35" spans="1:18" x14ac:dyDescent="0.35">
      <c r="A35" s="7">
        <v>1082</v>
      </c>
      <c r="B35" t="s">
        <v>162</v>
      </c>
      <c r="C35" t="str">
        <f t="shared" si="1"/>
        <v>Hybrid Bikes</v>
      </c>
      <c r="D35" t="s">
        <v>163</v>
      </c>
      <c r="E35" t="s">
        <v>166</v>
      </c>
      <c r="F35" t="str">
        <f t="shared" si="0"/>
        <v>CommutePro 2000</v>
      </c>
      <c r="G35" t="s">
        <v>167</v>
      </c>
      <c r="H35" s="9">
        <v>1500</v>
      </c>
      <c r="I35" s="5">
        <v>25</v>
      </c>
      <c r="J35" t="s">
        <v>86</v>
      </c>
      <c r="K35" t="str">
        <f t="shared" si="2"/>
        <v>L</v>
      </c>
      <c r="L35" s="7">
        <v>2082</v>
      </c>
      <c r="M35" s="7">
        <v>3082</v>
      </c>
      <c r="N35" s="1">
        <v>44977</v>
      </c>
      <c r="O35" t="s">
        <v>75</v>
      </c>
      <c r="P35" s="7">
        <v>1</v>
      </c>
      <c r="Q35" s="9">
        <v>1500</v>
      </c>
      <c r="R35" t="s">
        <v>76</v>
      </c>
    </row>
    <row r="36" spans="1:18" x14ac:dyDescent="0.35">
      <c r="A36" s="7">
        <v>1083</v>
      </c>
      <c r="B36" t="s">
        <v>77</v>
      </c>
      <c r="C36" t="str">
        <f t="shared" si="1"/>
        <v>Road Bikes</v>
      </c>
      <c r="D36" t="s">
        <v>168</v>
      </c>
      <c r="E36" t="s">
        <v>169</v>
      </c>
      <c r="F36" t="str">
        <f t="shared" si="0"/>
        <v>AeroSpeed 1000</v>
      </c>
      <c r="G36" t="s">
        <v>170</v>
      </c>
      <c r="H36" s="9">
        <v>2800</v>
      </c>
      <c r="I36" s="5">
        <v>18</v>
      </c>
      <c r="J36" t="s">
        <v>91</v>
      </c>
      <c r="K36" t="str">
        <f t="shared" si="2"/>
        <v>M</v>
      </c>
      <c r="L36" s="7">
        <v>2083</v>
      </c>
      <c r="M36" s="7">
        <v>3083</v>
      </c>
      <c r="N36" s="1">
        <v>44978</v>
      </c>
      <c r="O36" t="s">
        <v>82</v>
      </c>
      <c r="P36" s="7">
        <v>3</v>
      </c>
      <c r="Q36" s="9">
        <v>8400</v>
      </c>
      <c r="R36" t="s">
        <v>70</v>
      </c>
    </row>
    <row r="37" spans="1:18" x14ac:dyDescent="0.35">
      <c r="A37" s="7">
        <v>1084</v>
      </c>
      <c r="B37" t="s">
        <v>77</v>
      </c>
      <c r="C37" t="str">
        <f t="shared" si="1"/>
        <v>Road Bikes</v>
      </c>
      <c r="D37" t="s">
        <v>168</v>
      </c>
      <c r="E37" t="s">
        <v>171</v>
      </c>
      <c r="F37" t="str">
        <f t="shared" si="0"/>
        <v>AeroSpeed 2000</v>
      </c>
      <c r="G37" t="s">
        <v>172</v>
      </c>
      <c r="H37" s="9">
        <v>3200</v>
      </c>
      <c r="I37" s="5">
        <v>16</v>
      </c>
      <c r="J37" t="s">
        <v>86</v>
      </c>
      <c r="K37" t="str">
        <f t="shared" si="2"/>
        <v>L</v>
      </c>
      <c r="L37" s="7">
        <v>2084</v>
      </c>
      <c r="M37" s="7">
        <v>3084</v>
      </c>
      <c r="N37" s="1">
        <v>44979</v>
      </c>
      <c r="O37" t="s">
        <v>69</v>
      </c>
      <c r="P37" s="7">
        <v>1</v>
      </c>
      <c r="Q37" s="9">
        <v>3200</v>
      </c>
      <c r="R37" t="s">
        <v>70</v>
      </c>
    </row>
    <row r="38" spans="1:18" x14ac:dyDescent="0.35">
      <c r="A38" s="7">
        <v>1085</v>
      </c>
      <c r="B38" t="s">
        <v>87</v>
      </c>
      <c r="C38" t="str">
        <f t="shared" si="1"/>
        <v>Touring Bikes</v>
      </c>
      <c r="D38" t="s">
        <v>173</v>
      </c>
      <c r="E38" t="s">
        <v>174</v>
      </c>
      <c r="F38" t="str">
        <f t="shared" si="0"/>
        <v>ReclineRider 1000</v>
      </c>
      <c r="G38" t="s">
        <v>175</v>
      </c>
      <c r="H38" s="9">
        <v>2000</v>
      </c>
      <c r="I38" s="5">
        <v>33</v>
      </c>
      <c r="J38" t="s">
        <v>91</v>
      </c>
      <c r="K38" t="str">
        <f t="shared" si="2"/>
        <v>M</v>
      </c>
      <c r="L38" s="7">
        <v>2085</v>
      </c>
      <c r="M38" s="7">
        <v>3085</v>
      </c>
      <c r="N38" s="1">
        <v>44980</v>
      </c>
      <c r="O38" t="s">
        <v>75</v>
      </c>
      <c r="P38" s="7">
        <v>2</v>
      </c>
      <c r="Q38" s="9">
        <v>4000</v>
      </c>
      <c r="R38" t="s">
        <v>76</v>
      </c>
    </row>
    <row r="39" spans="1:18" x14ac:dyDescent="0.35">
      <c r="A39" s="7">
        <v>1086</v>
      </c>
      <c r="B39" t="s">
        <v>87</v>
      </c>
      <c r="C39" t="str">
        <f t="shared" si="1"/>
        <v>Touring Bikes</v>
      </c>
      <c r="D39" t="s">
        <v>173</v>
      </c>
      <c r="E39" t="s">
        <v>176</v>
      </c>
      <c r="F39" t="str">
        <f t="shared" si="0"/>
        <v>ReclineRider 2000</v>
      </c>
      <c r="G39" t="s">
        <v>177</v>
      </c>
      <c r="H39" s="9">
        <v>2400</v>
      </c>
      <c r="I39" s="5">
        <v>30</v>
      </c>
      <c r="J39" t="s">
        <v>86</v>
      </c>
      <c r="K39" t="str">
        <f t="shared" si="2"/>
        <v>L</v>
      </c>
      <c r="L39" s="7">
        <v>2086</v>
      </c>
      <c r="M39" s="7">
        <v>3086</v>
      </c>
      <c r="N39" s="1">
        <v>44981</v>
      </c>
      <c r="O39" t="s">
        <v>69</v>
      </c>
      <c r="P39" s="7">
        <v>1</v>
      </c>
      <c r="Q39" s="9">
        <v>2400</v>
      </c>
      <c r="R39" t="s">
        <v>70</v>
      </c>
    </row>
    <row r="40" spans="1:18" x14ac:dyDescent="0.35">
      <c r="A40" s="7">
        <v>1087</v>
      </c>
      <c r="B40" t="s">
        <v>71</v>
      </c>
      <c r="C40" t="str">
        <f t="shared" si="1"/>
        <v>Mountain Bikes</v>
      </c>
      <c r="D40" t="s">
        <v>94</v>
      </c>
      <c r="E40" t="s">
        <v>178</v>
      </c>
      <c r="F40" t="str">
        <f t="shared" si="0"/>
        <v>DownhillDominator 1000</v>
      </c>
      <c r="G40" t="s">
        <v>179</v>
      </c>
      <c r="H40" s="9">
        <v>2900</v>
      </c>
      <c r="I40" s="5">
        <v>34</v>
      </c>
      <c r="J40" t="s">
        <v>91</v>
      </c>
      <c r="K40" t="str">
        <f t="shared" si="2"/>
        <v>M</v>
      </c>
      <c r="L40" s="7">
        <v>2087</v>
      </c>
      <c r="M40" s="7">
        <v>3087</v>
      </c>
      <c r="N40" s="1">
        <v>44982</v>
      </c>
      <c r="O40" t="s">
        <v>69</v>
      </c>
      <c r="P40" s="7">
        <v>2</v>
      </c>
      <c r="Q40" s="9">
        <v>5800</v>
      </c>
      <c r="R40" t="s">
        <v>76</v>
      </c>
    </row>
    <row r="41" spans="1:18" x14ac:dyDescent="0.35">
      <c r="A41" s="7">
        <v>1088</v>
      </c>
      <c r="B41" t="s">
        <v>71</v>
      </c>
      <c r="C41" t="str">
        <f t="shared" si="1"/>
        <v>Mountain Bikes</v>
      </c>
      <c r="D41" t="s">
        <v>94</v>
      </c>
      <c r="E41" t="s">
        <v>180</v>
      </c>
      <c r="F41" t="str">
        <f t="shared" si="0"/>
        <v>DownhillDominator 2000</v>
      </c>
      <c r="G41" t="s">
        <v>181</v>
      </c>
      <c r="H41" s="9">
        <v>3300</v>
      </c>
      <c r="I41" s="5">
        <v>32</v>
      </c>
      <c r="J41" t="s">
        <v>86</v>
      </c>
      <c r="K41" t="str">
        <f t="shared" si="2"/>
        <v>L</v>
      </c>
      <c r="L41" s="7">
        <v>2088</v>
      </c>
      <c r="M41" s="7">
        <v>3088</v>
      </c>
      <c r="N41" s="1">
        <v>44983</v>
      </c>
      <c r="O41" t="s">
        <v>75</v>
      </c>
      <c r="P41" s="7">
        <v>1</v>
      </c>
      <c r="Q41" s="9">
        <v>3300</v>
      </c>
      <c r="R41" t="s">
        <v>76</v>
      </c>
    </row>
    <row r="42" spans="1:18" x14ac:dyDescent="0.35">
      <c r="A42" s="7">
        <v>1101</v>
      </c>
      <c r="B42" t="s">
        <v>182</v>
      </c>
      <c r="C42" t="str">
        <f t="shared" si="1"/>
        <v>Kids Bikes</v>
      </c>
      <c r="D42" t="s">
        <v>183</v>
      </c>
      <c r="E42" t="s">
        <v>184</v>
      </c>
      <c r="F42" t="str">
        <f t="shared" si="0"/>
        <v>LittleBalancer 1000</v>
      </c>
      <c r="G42" t="s">
        <v>185</v>
      </c>
      <c r="H42" s="9">
        <v>150</v>
      </c>
      <c r="I42" s="5">
        <v>10</v>
      </c>
      <c r="J42" t="s">
        <v>91</v>
      </c>
      <c r="K42" t="str">
        <f t="shared" si="2"/>
        <v>M</v>
      </c>
      <c r="L42" s="7">
        <v>2101</v>
      </c>
      <c r="M42" s="7">
        <v>3101</v>
      </c>
      <c r="N42" s="1">
        <v>44958</v>
      </c>
      <c r="O42" t="s">
        <v>69</v>
      </c>
      <c r="P42" s="7">
        <v>2</v>
      </c>
      <c r="Q42" s="9">
        <v>300</v>
      </c>
      <c r="R42" t="s">
        <v>70</v>
      </c>
    </row>
    <row r="43" spans="1:18" x14ac:dyDescent="0.35">
      <c r="A43" s="7">
        <v>1102</v>
      </c>
      <c r="B43" t="s">
        <v>182</v>
      </c>
      <c r="C43" t="str">
        <f t="shared" si="1"/>
        <v>Kids Bikes</v>
      </c>
      <c r="D43" t="s">
        <v>183</v>
      </c>
      <c r="E43" t="s">
        <v>186</v>
      </c>
      <c r="F43" t="str">
        <f t="shared" si="0"/>
        <v>LittleBalancer 2000</v>
      </c>
      <c r="G43" t="s">
        <v>187</v>
      </c>
      <c r="H43" s="9">
        <v>200</v>
      </c>
      <c r="I43" s="5">
        <v>9</v>
      </c>
      <c r="J43" t="s">
        <v>86</v>
      </c>
      <c r="K43" t="str">
        <f t="shared" si="2"/>
        <v>L</v>
      </c>
      <c r="L43" s="7">
        <v>2102</v>
      </c>
      <c r="M43" s="7">
        <v>3102</v>
      </c>
      <c r="N43" s="1">
        <v>44959</v>
      </c>
      <c r="O43" t="s">
        <v>75</v>
      </c>
      <c r="P43" s="7">
        <v>1</v>
      </c>
      <c r="Q43" s="9">
        <v>200</v>
      </c>
      <c r="R43" t="s">
        <v>76</v>
      </c>
    </row>
    <row r="44" spans="1:18" x14ac:dyDescent="0.35">
      <c r="A44" s="7">
        <v>1103</v>
      </c>
      <c r="B44" t="s">
        <v>188</v>
      </c>
      <c r="C44" t="str">
        <f t="shared" si="1"/>
        <v>Bmx Bikes</v>
      </c>
      <c r="D44" t="s">
        <v>189</v>
      </c>
      <c r="E44" t="s">
        <v>190</v>
      </c>
      <c r="F44" t="str">
        <f t="shared" si="0"/>
        <v>FreestyleMaster 1000</v>
      </c>
      <c r="G44" t="s">
        <v>191</v>
      </c>
      <c r="H44" s="9">
        <v>400</v>
      </c>
      <c r="I44" s="5">
        <v>25</v>
      </c>
      <c r="J44" t="s">
        <v>91</v>
      </c>
      <c r="K44" t="str">
        <f t="shared" si="2"/>
        <v>M</v>
      </c>
      <c r="L44" s="7">
        <v>2103</v>
      </c>
      <c r="M44" s="7">
        <v>3103</v>
      </c>
      <c r="N44" s="1">
        <v>44960</v>
      </c>
      <c r="O44" t="s">
        <v>82</v>
      </c>
      <c r="P44" s="7">
        <v>3</v>
      </c>
      <c r="Q44" s="9">
        <v>1200</v>
      </c>
      <c r="R44" t="s">
        <v>70</v>
      </c>
    </row>
    <row r="45" spans="1:18" x14ac:dyDescent="0.35">
      <c r="A45" s="7">
        <v>1104</v>
      </c>
      <c r="B45" t="s">
        <v>188</v>
      </c>
      <c r="C45" t="str">
        <f t="shared" si="1"/>
        <v>Bmx Bikes</v>
      </c>
      <c r="D45" t="s">
        <v>189</v>
      </c>
      <c r="E45" t="s">
        <v>192</v>
      </c>
      <c r="F45" t="str">
        <f t="shared" si="0"/>
        <v>FreestyleMaster 2000</v>
      </c>
      <c r="G45" t="s">
        <v>193</v>
      </c>
      <c r="H45" s="9">
        <v>600</v>
      </c>
      <c r="I45" s="5">
        <v>23</v>
      </c>
      <c r="J45" t="s">
        <v>86</v>
      </c>
      <c r="K45" t="str">
        <f t="shared" si="2"/>
        <v>L</v>
      </c>
      <c r="L45" s="7">
        <v>2104</v>
      </c>
      <c r="M45" s="7">
        <v>3104</v>
      </c>
      <c r="N45" s="1">
        <v>44961</v>
      </c>
      <c r="O45" t="s">
        <v>69</v>
      </c>
      <c r="P45" s="7">
        <v>1</v>
      </c>
      <c r="Q45" s="9">
        <v>600</v>
      </c>
      <c r="R45" t="s">
        <v>70</v>
      </c>
    </row>
    <row r="46" spans="1:18" x14ac:dyDescent="0.35">
      <c r="A46" s="7">
        <v>1105</v>
      </c>
      <c r="B46" t="s">
        <v>71</v>
      </c>
      <c r="C46" t="str">
        <f t="shared" si="1"/>
        <v>Mountain Bikes</v>
      </c>
      <c r="D46" t="s">
        <v>65</v>
      </c>
      <c r="E46" t="s">
        <v>194</v>
      </c>
      <c r="F46" t="str">
        <f t="shared" si="0"/>
        <v>XC-Rider 1000</v>
      </c>
      <c r="G46" t="s">
        <v>195</v>
      </c>
      <c r="H46" s="9">
        <v>1800</v>
      </c>
      <c r="I46" s="5">
        <v>29</v>
      </c>
      <c r="J46" t="s">
        <v>91</v>
      </c>
      <c r="K46" t="str">
        <f t="shared" si="2"/>
        <v>M</v>
      </c>
      <c r="L46" s="7">
        <v>2105</v>
      </c>
      <c r="M46" s="7">
        <v>3105</v>
      </c>
      <c r="N46" s="1">
        <v>44962</v>
      </c>
      <c r="O46" t="s">
        <v>75</v>
      </c>
      <c r="P46" s="7">
        <v>2</v>
      </c>
      <c r="Q46" s="9">
        <v>3600</v>
      </c>
      <c r="R46" t="s">
        <v>76</v>
      </c>
    </row>
    <row r="47" spans="1:18" x14ac:dyDescent="0.35">
      <c r="A47" s="7">
        <v>1106</v>
      </c>
      <c r="B47" t="s">
        <v>71</v>
      </c>
      <c r="C47" t="str">
        <f t="shared" si="1"/>
        <v>Mountain Bikes</v>
      </c>
      <c r="D47" t="s">
        <v>65</v>
      </c>
      <c r="E47" t="s">
        <v>196</v>
      </c>
      <c r="F47" t="str">
        <f t="shared" si="0"/>
        <v>XC-Rider 2000</v>
      </c>
      <c r="G47" t="s">
        <v>197</v>
      </c>
      <c r="H47" s="9">
        <v>2400</v>
      </c>
      <c r="I47" s="5">
        <v>27</v>
      </c>
      <c r="J47" t="s">
        <v>86</v>
      </c>
      <c r="K47" t="str">
        <f t="shared" si="2"/>
        <v>L</v>
      </c>
      <c r="L47" s="7">
        <v>2106</v>
      </c>
      <c r="M47" s="7">
        <v>3106</v>
      </c>
      <c r="N47" s="1">
        <v>44963</v>
      </c>
      <c r="O47" t="s">
        <v>69</v>
      </c>
      <c r="P47" s="7">
        <v>1</v>
      </c>
      <c r="Q47" s="9">
        <v>2400</v>
      </c>
      <c r="R47" t="s">
        <v>70</v>
      </c>
    </row>
    <row r="48" spans="1:18" x14ac:dyDescent="0.35">
      <c r="A48" s="7">
        <v>1107</v>
      </c>
      <c r="B48" t="s">
        <v>148</v>
      </c>
      <c r="C48" t="str">
        <f t="shared" si="1"/>
        <v>Road Bikes</v>
      </c>
      <c r="D48" t="s">
        <v>198</v>
      </c>
      <c r="E48" t="s">
        <v>199</v>
      </c>
      <c r="F48" t="str">
        <f t="shared" si="0"/>
        <v>EnduranceElite 1000</v>
      </c>
      <c r="G48" t="s">
        <v>200</v>
      </c>
      <c r="H48" s="9">
        <v>2100</v>
      </c>
      <c r="I48" s="5">
        <v>20</v>
      </c>
      <c r="J48" t="s">
        <v>91</v>
      </c>
      <c r="K48" t="str">
        <f t="shared" si="2"/>
        <v>M</v>
      </c>
      <c r="L48" s="7">
        <v>2107</v>
      </c>
      <c r="M48" s="7">
        <v>3107</v>
      </c>
      <c r="N48" s="1">
        <v>44964</v>
      </c>
      <c r="O48" t="s">
        <v>69</v>
      </c>
      <c r="P48" s="7">
        <v>2</v>
      </c>
      <c r="Q48" s="9">
        <v>4200</v>
      </c>
      <c r="R48" t="s">
        <v>76</v>
      </c>
    </row>
    <row r="49" spans="1:18" x14ac:dyDescent="0.35">
      <c r="A49" s="7">
        <v>1108</v>
      </c>
      <c r="B49" t="s">
        <v>77</v>
      </c>
      <c r="C49" t="str">
        <f t="shared" si="1"/>
        <v>Road Bikes</v>
      </c>
      <c r="D49" t="s">
        <v>198</v>
      </c>
      <c r="E49" t="s">
        <v>201</v>
      </c>
      <c r="F49" t="str">
        <f t="shared" si="0"/>
        <v>EnduranceElite 2000</v>
      </c>
      <c r="G49" t="s">
        <v>202</v>
      </c>
      <c r="H49" s="9">
        <v>2600</v>
      </c>
      <c r="I49" s="5">
        <v>18</v>
      </c>
      <c r="J49" t="s">
        <v>86</v>
      </c>
      <c r="K49" t="str">
        <f t="shared" si="2"/>
        <v>L</v>
      </c>
      <c r="L49" s="7">
        <v>2108</v>
      </c>
      <c r="M49" s="7">
        <v>3108</v>
      </c>
      <c r="N49" s="1">
        <v>44965</v>
      </c>
      <c r="O49" t="s">
        <v>75</v>
      </c>
      <c r="P49" s="7">
        <v>1</v>
      </c>
      <c r="Q49" s="9">
        <v>2600</v>
      </c>
      <c r="R49" t="s">
        <v>70</v>
      </c>
    </row>
  </sheetData>
  <autoFilter ref="A1:R49" xr:uid="{BFE9A756-65FD-4D4F-90B6-552FCD12E419}">
    <filterColumn colId="6">
      <customFilters>
        <customFilter operator="notEqual" val=" "/>
      </customFilters>
    </filterColumn>
  </autoFilter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1.5_Sales</vt:lpstr>
      <vt:lpstr>1.5_Sales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Strawberry 🍓 🍓🍓</cp:lastModifiedBy>
  <dcterms:created xsi:type="dcterms:W3CDTF">2026-01-09T09:58:02Z</dcterms:created>
  <dcterms:modified xsi:type="dcterms:W3CDTF">2026-01-09T09:58:23Z</dcterms:modified>
</cp:coreProperties>
</file>