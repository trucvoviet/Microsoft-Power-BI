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_{69AA02E4-040C-4698-AD1D-A49823B66BB9}" xr6:coauthVersionLast="47" xr6:coauthVersionMax="47" xr10:uidLastSave="{00000000-0000-0000-0000-000000000000}"/>
  <bookViews>
    <workbookView xWindow="-110" yWindow="-110" windowWidth="19420" windowHeight="11020" activeTab="1" xr2:uid="{B653257C-2690-4B6F-AF51-C145C2D6B17F}"/>
  </bookViews>
  <sheets>
    <sheet name="Jan-Dec" sheetId="1" r:id="rId1"/>
    <sheet name="Jan-Dec_solu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2" l="1"/>
  <c r="M5" i="2"/>
  <c r="M6" i="2"/>
  <c r="M7" i="2"/>
  <c r="M8" i="2"/>
  <c r="M9" i="2"/>
  <c r="M10" i="2"/>
  <c r="M201" i="2" s="1"/>
  <c r="P2" i="2" s="1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201" i="2" s="1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4" i="2"/>
  <c r="J5" i="2"/>
  <c r="J6" i="2"/>
  <c r="J7" i="2"/>
  <c r="J201" i="2" s="1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4" i="2"/>
  <c r="I5" i="2"/>
  <c r="I6" i="2"/>
  <c r="I7" i="2"/>
  <c r="I8" i="2"/>
  <c r="I9" i="2"/>
  <c r="I10" i="2"/>
  <c r="I11" i="2"/>
  <c r="I12" i="2"/>
  <c r="I201" i="2" s="1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4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5" i="1"/>
  <c r="K6" i="1"/>
  <c r="K7" i="1"/>
  <c r="K8" i="1"/>
  <c r="K201" i="1" s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4" i="1"/>
  <c r="H201" i="2" l="1"/>
  <c r="G201" i="2"/>
  <c r="G201" i="1"/>
  <c r="H201" i="1"/>
  <c r="I201" i="1"/>
  <c r="M201" i="1"/>
  <c r="P2" i="1" s="1"/>
  <c r="L201" i="1" l="1"/>
  <c r="J201" i="1"/>
</calcChain>
</file>

<file path=xl/sharedStrings.xml><?xml version="1.0" encoding="utf-8"?>
<sst xmlns="http://schemas.openxmlformats.org/spreadsheetml/2006/main" count="1608" uniqueCount="247">
  <si>
    <t>Product</t>
  </si>
  <si>
    <t>Color</t>
  </si>
  <si>
    <t>Category</t>
  </si>
  <si>
    <t>Subcategory</t>
  </si>
  <si>
    <t>Wholesale Cost</t>
  </si>
  <si>
    <t>Purchase Cost</t>
  </si>
  <si>
    <t xml:space="preserve">Shipping Costs </t>
  </si>
  <si>
    <t>Total Costs</t>
  </si>
  <si>
    <t>Retail Price (per unit)</t>
  </si>
  <si>
    <t>Items Sold</t>
  </si>
  <si>
    <t>Revenue</t>
  </si>
  <si>
    <t>Profit</t>
  </si>
  <si>
    <t>Shipping Rate (per item)</t>
  </si>
  <si>
    <t>HL Road Frame - Black, 58</t>
  </si>
  <si>
    <t>Black</t>
  </si>
  <si>
    <t>Components</t>
  </si>
  <si>
    <t>Road Frames</t>
  </si>
  <si>
    <t>Sport-100 Helmet, Black</t>
  </si>
  <si>
    <t>Accessories</t>
  </si>
  <si>
    <t>Helmets</t>
  </si>
  <si>
    <t>LL Road Frame - Black, 58</t>
  </si>
  <si>
    <t>HL Mountain Frame - Black, 42</t>
  </si>
  <si>
    <t>Mountain Frames</t>
  </si>
  <si>
    <t>Road-650 Black, 58</t>
  </si>
  <si>
    <t>Bikes</t>
  </si>
  <si>
    <t>Road Bikes</t>
  </si>
  <si>
    <t>Road-650 Black, 60</t>
  </si>
  <si>
    <t>Mountain-100 Black, 38</t>
  </si>
  <si>
    <t>Mountain Bikes</t>
  </si>
  <si>
    <t>Mountain-100 Black, 42</t>
  </si>
  <si>
    <t>Mountain-100 Black, 44</t>
  </si>
  <si>
    <t>Mountain-100 Black, 48</t>
  </si>
  <si>
    <t>Mountain-200 Black, 38</t>
  </si>
  <si>
    <t>Road-250 Black, 44</t>
  </si>
  <si>
    <t>Road-250 Black, 48</t>
  </si>
  <si>
    <t>ML Mountain Frame - Black, 38</t>
  </si>
  <si>
    <t>LL Mountain Front Wheel</t>
  </si>
  <si>
    <t>Wheels</t>
  </si>
  <si>
    <t>ML Mountain Front Wheel</t>
  </si>
  <si>
    <t>HL Mountain Front Wheel</t>
  </si>
  <si>
    <t>LL Mountain Rear Wheel</t>
  </si>
  <si>
    <t>ML Mountain Rear Wheel</t>
  </si>
  <si>
    <t>HL Mountain Rear Wheel</t>
  </si>
  <si>
    <t>LL Road Rear Wheel</t>
  </si>
  <si>
    <t>ML Mountain Frame - Black, 40</t>
  </si>
  <si>
    <t>ML Mountain Frame - Black, 44</t>
  </si>
  <si>
    <t>ML Mountain Frame - Black, 48</t>
  </si>
  <si>
    <t>HL Road Frame - Black, 62</t>
  </si>
  <si>
    <t>HL Road Frame - Black, 44</t>
  </si>
  <si>
    <t>HL Road Frame - Black, 48</t>
  </si>
  <si>
    <t>HL Road Frame - Black, 52</t>
  </si>
  <si>
    <t>Men's Sports Shorts, S</t>
  </si>
  <si>
    <t>Clothing</t>
  </si>
  <si>
    <t>Shorts</t>
  </si>
  <si>
    <t>Men's Sports Shorts, M</t>
  </si>
  <si>
    <t>Men's Sports Shorts, L</t>
  </si>
  <si>
    <t>Men's Sports Shorts, XL</t>
  </si>
  <si>
    <t>Women's Tights, S</t>
  </si>
  <si>
    <t>Tights</t>
  </si>
  <si>
    <t>Women's Tights, M</t>
  </si>
  <si>
    <t>Women's Tights, L</t>
  </si>
  <si>
    <t>Half-Finger Gloves, S</t>
  </si>
  <si>
    <t>Gloves</t>
  </si>
  <si>
    <t>Half-Finger Gloves, M</t>
  </si>
  <si>
    <t>Half-Finger Gloves, L</t>
  </si>
  <si>
    <t>Full-Finger Gloves, S</t>
  </si>
  <si>
    <t>Full-Finger Gloves, M</t>
  </si>
  <si>
    <t>Full-Finger Gloves, L</t>
  </si>
  <si>
    <t>Women's Mountain Shorts, S</t>
  </si>
  <si>
    <t>Women's Mountain Shorts, M</t>
  </si>
  <si>
    <t>Women's Mountain Shorts, L</t>
  </si>
  <si>
    <t>LL Crankset</t>
  </si>
  <si>
    <t>Cranksets</t>
  </si>
  <si>
    <t>ML Crankset</t>
  </si>
  <si>
    <t>HL Crankset</t>
  </si>
  <si>
    <t>Road-750 Black, 58</t>
  </si>
  <si>
    <t>Mountain-500 Black, 40</t>
  </si>
  <si>
    <t>Road-750 Black, 44</t>
  </si>
  <si>
    <t>Road-750 Black, 48</t>
  </si>
  <si>
    <t>Road-750 Black, 52</t>
  </si>
  <si>
    <t>HL Road Frame - Red, 58</t>
  </si>
  <si>
    <t>Red</t>
  </si>
  <si>
    <t>Sport-100 Helmet, Red</t>
  </si>
  <si>
    <t>Sport-100 Helmet, Blue</t>
  </si>
  <si>
    <t>Blue</t>
  </si>
  <si>
    <t>Mountain Bike Socks, M</t>
  </si>
  <si>
    <t>White</t>
  </si>
  <si>
    <t>Socks</t>
  </si>
  <si>
    <t>Mountain Bike Socks, L</t>
  </si>
  <si>
    <t>AWC Logo Cap</t>
  </si>
  <si>
    <t>Multi</t>
  </si>
  <si>
    <t>Caps</t>
  </si>
  <si>
    <t>Long-Sleeve Logo Jersey, S</t>
  </si>
  <si>
    <t>Jerseys</t>
  </si>
  <si>
    <t>Long-Sleeve Logo Jersey, M</t>
  </si>
  <si>
    <t>Long-Sleeve Logo Jersey, L</t>
  </si>
  <si>
    <t>Long-Sleeve Logo Jersey, XL</t>
  </si>
  <si>
    <t>HL Mountain Frame - Silver, 42</t>
  </si>
  <si>
    <t>Silver</t>
  </si>
  <si>
    <t>HL Mountain Frame - Silver, 44</t>
  </si>
  <si>
    <t>HL Mountain Frame - Silver, 48</t>
  </si>
  <si>
    <t>HL Mountain Frame - Silver, 46</t>
  </si>
  <si>
    <t>HL Mountain Frame - Silver, 38</t>
  </si>
  <si>
    <t>Road-150 Red, 62</t>
  </si>
  <si>
    <t>Road-150 Red, 44</t>
  </si>
  <si>
    <t>Road-150 Red, 48</t>
  </si>
  <si>
    <t>Mountain-100 Silver, 38</t>
  </si>
  <si>
    <t>Mountain-100 Silver, 42</t>
  </si>
  <si>
    <t>Mountain-100 Silver, 44</t>
  </si>
  <si>
    <t>Road-250 Red, 44</t>
  </si>
  <si>
    <t>Road-250 Red, 48</t>
  </si>
  <si>
    <t>Road-250 Red, 52</t>
  </si>
  <si>
    <t>Road-550-W Yellow, 38</t>
  </si>
  <si>
    <t>Yellow</t>
  </si>
  <si>
    <t>Road-550-W Yellow, 40</t>
  </si>
  <si>
    <t>Road-550-W Yellow, 42</t>
  </si>
  <si>
    <t>LL Fork</t>
  </si>
  <si>
    <t>NA</t>
  </si>
  <si>
    <t>Forks</t>
  </si>
  <si>
    <t>ML Fork</t>
  </si>
  <si>
    <t>HL Fork</t>
  </si>
  <si>
    <t>LL Headset</t>
  </si>
  <si>
    <t>Headsets</t>
  </si>
  <si>
    <t>ML Headset</t>
  </si>
  <si>
    <t>HL Headset</t>
  </si>
  <si>
    <t>LL Mountain Handlebars</t>
  </si>
  <si>
    <t>Handlebars</t>
  </si>
  <si>
    <t>HL Mountain Handlebars</t>
  </si>
  <si>
    <t>LL Road Handlebars</t>
  </si>
  <si>
    <t>ML Road Frame-W - Yellow, 38</t>
  </si>
  <si>
    <t>ML Road Frame-W - Yellow, 40</t>
  </si>
  <si>
    <t>Touring-Panniers, Large</t>
  </si>
  <si>
    <t>Grey</t>
  </si>
  <si>
    <t>Panniers</t>
  </si>
  <si>
    <t>Cable Lock</t>
  </si>
  <si>
    <t>Locks</t>
  </si>
  <si>
    <t>Minipump</t>
  </si>
  <si>
    <t>Pumps</t>
  </si>
  <si>
    <t>Mountain Pump</t>
  </si>
  <si>
    <t>Taillights - Battery-Powered</t>
  </si>
  <si>
    <t>Lights</t>
  </si>
  <si>
    <t>Headlights - Dual-Beam</t>
  </si>
  <si>
    <t>Headlights - Weatherproof</t>
  </si>
  <si>
    <t>Men's Bib-Shorts, S</t>
  </si>
  <si>
    <t>Bib-Shorts</t>
  </si>
  <si>
    <t>Men's Bib-Shorts, M</t>
  </si>
  <si>
    <t>Men's Bib-Shorts, L</t>
  </si>
  <si>
    <t>Classic Vest, S</t>
  </si>
  <si>
    <t>Vests</t>
  </si>
  <si>
    <t>Classic Vest, M</t>
  </si>
  <si>
    <t>Classic Vest, L</t>
  </si>
  <si>
    <t>Water Bottle - 30 oz.</t>
  </si>
  <si>
    <t>Bottles and Cages</t>
  </si>
  <si>
    <t>Mountain Bottle Cage</t>
  </si>
  <si>
    <t>Road Bottle Cage</t>
  </si>
  <si>
    <t>Patch Kit/8 Patches</t>
  </si>
  <si>
    <t>Tires and Tubes</t>
  </si>
  <si>
    <t>Racing Socks, M</t>
  </si>
  <si>
    <t>Racing Socks, L</t>
  </si>
  <si>
    <t>Hitch Rack - 4-Bike</t>
  </si>
  <si>
    <t>Bike Racks</t>
  </si>
  <si>
    <t>Bike Wash - Dissolver</t>
  </si>
  <si>
    <t>Cleaners</t>
  </si>
  <si>
    <t>Fender Set - Mountain</t>
  </si>
  <si>
    <t>Fenders</t>
  </si>
  <si>
    <t>All-Purpose Bike Stand</t>
  </si>
  <si>
    <t>Bike Stands</t>
  </si>
  <si>
    <t>Hydration Pack - 70 oz.</t>
  </si>
  <si>
    <t>Hydration Packs</t>
  </si>
  <si>
    <t>Short-Sleeve Classic Jersey, S</t>
  </si>
  <si>
    <t>Short-Sleeve Classic Jersey, M</t>
  </si>
  <si>
    <t>Short-Sleeve Classic Jersey, L</t>
  </si>
  <si>
    <t>Short-Sleeve Classic Jersey, XL</t>
  </si>
  <si>
    <t>HL Touring Frame - Yellow, 60</t>
  </si>
  <si>
    <t>Touring Frames</t>
  </si>
  <si>
    <t>LL Touring Frame - Yellow, 62</t>
  </si>
  <si>
    <t>HL Touring Frame - Yellow, 46</t>
  </si>
  <si>
    <t>HL Touring Frame - Yellow, 50</t>
  </si>
  <si>
    <t>HL Touring Frame - Yellow, 54</t>
  </si>
  <si>
    <t>Rear Derailleur</t>
  </si>
  <si>
    <t>Derailleurs</t>
  </si>
  <si>
    <t>LL Touring Frame - Blue, 44</t>
  </si>
  <si>
    <t>ML Mountain Frame-W - Silver, 40</t>
  </si>
  <si>
    <t>ML Mountain Frame-W - Silver, 42</t>
  </si>
  <si>
    <t>ML Mountain Frame-W - Silver, 46</t>
  </si>
  <si>
    <t>Rear Brakes</t>
  </si>
  <si>
    <t>Brakes</t>
  </si>
  <si>
    <t>LL Mountain Seat/Saddle</t>
  </si>
  <si>
    <t>Saddles</t>
  </si>
  <si>
    <t>ML Mountain Seat/Saddle</t>
  </si>
  <si>
    <t>HL Mountain Seat/Saddle</t>
  </si>
  <si>
    <t>LL Road Seat/Saddle</t>
  </si>
  <si>
    <t>ML Road Seat/Saddle</t>
  </si>
  <si>
    <t>HL Road Seat/Saddle</t>
  </si>
  <si>
    <t>LL Touring Seat/Saddle</t>
  </si>
  <si>
    <t>ML Touring Seat/Saddle</t>
  </si>
  <si>
    <t>HL Touring Seat/Saddle</t>
  </si>
  <si>
    <t>LL Mountain Frame - Silver, 42</t>
  </si>
  <si>
    <t>LL Mountain Frame - Silver, 44</t>
  </si>
  <si>
    <t>LL Mountain Frame - Silver, 48</t>
  </si>
  <si>
    <t>LL Mountain Frame - Silver, 52</t>
  </si>
  <si>
    <t>Mountain Tire Tube</t>
  </si>
  <si>
    <t>Road Tire Tube</t>
  </si>
  <si>
    <t>Touring Tire Tube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</si>
  <si>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</si>
  <si>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</si>
  <si>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</si>
  <si>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</si>
  <si>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</si>
  <si>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</si>
  <si>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</si>
  <si>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LL Mountain Pedal</t>
  </si>
  <si>
    <t>Silver/Black</t>
  </si>
  <si>
    <t>Pedals</t>
  </si>
  <si>
    <t>ML Mountain Pedal</t>
  </si>
  <si>
    <t>HL Mountain Pedal</t>
  </si>
  <si>
    <t>LL Road Pedal</t>
  </si>
  <si>
    <t>ML Road Pedal</t>
  </si>
  <si>
    <t>HL Road Pedal</t>
  </si>
  <si>
    <t>Touring Pedal</t>
  </si>
  <si>
    <t>ML Mountain Frame-W - Silver, 38</t>
  </si>
  <si>
    <t>LL Mountain Frame - Silver, 40</t>
  </si>
  <si>
    <t>Front Derailleur</t>
  </si>
  <si>
    <t>LL Touring Handlebars</t>
  </si>
  <si>
    <t>HL Touring Handlebars</t>
  </si>
  <si>
    <t>Front Brakes</t>
  </si>
  <si>
    <t>Chain</t>
  </si>
  <si>
    <t>Chains</t>
  </si>
  <si>
    <t>Touring-2000 Blue, 60</t>
  </si>
  <si>
    <t>Touring Bikes</t>
  </si>
  <si>
    <t>Touring-1000 Yellow, 46</t>
  </si>
  <si>
    <t>Touring-1000 Yellow, 50</t>
  </si>
  <si>
    <t>Touring-1000 Yellow, 54</t>
  </si>
  <si>
    <t>Touring-1000 Yellow, 60</t>
  </si>
  <si>
    <t>Touring-3000 Yellow, 44</t>
  </si>
  <si>
    <t>Touring-3000 Yellow, 50</t>
  </si>
  <si>
    <t>Touring-3000 Yellow, 54</t>
  </si>
  <si>
    <t>Mountain-400-W Silver, 38</t>
  </si>
  <si>
    <t>Mountain-400-W Silver, 40</t>
  </si>
  <si>
    <t>Mountain-400-W Silver, 42</t>
  </si>
  <si>
    <t>Mountain-400-W Silver, 46</t>
  </si>
  <si>
    <t>LL Bottom Bracket</t>
  </si>
  <si>
    <t>Bottom Brackets</t>
  </si>
  <si>
    <t>ML Bottom Bracket</t>
  </si>
  <si>
    <t>HL Bottom Bracket</t>
  </si>
  <si>
    <t>Items Purchased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</si>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</sst>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[$$-409]* #,##0.00_ ;_-[$$-409]* \-#,##0.00\ ;_-[$$-409]* &quot;-&quot;??_ ;_-@_ "/>
    <numFmt numFmtId="166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165" fontId="0" fillId="0" borderId="0" xfId="0" applyNumberFormat="1"/>
    <xf numFmtId="166" fontId="0" fillId="0" borderId="0" xfId="1" applyNumberFormat="1" applyFont="1"/>
    <xf numFmtId="166" fontId="0" fillId="0" borderId="0" xfId="0" applyNumberFormat="1"/>
    <xf numFmtId="10" fontId="0" fillId="0" borderId="0" xfId="0" applyNumberFormat="1"/>
    <xf numFmtId="165" fontId="0" fillId="0" borderId="2" xfId="0" applyNumberFormat="1" applyBorder="1"/>
    <xf numFmtId="164" fontId="0" fillId="0" borderId="0" xfId="1" applyFont="1"/>
    <xf numFmtId="165" fontId="0" fillId="0" borderId="0" xfId="1" applyNumberFormat="1" applyFont="1" applyFill="1"/>
    <xf numFmtId="164" fontId="0" fillId="0" borderId="2" xfId="1" applyFont="1" applyBorder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0" fontId="0" fillId="3" borderId="0" xfId="0" applyNumberFormat="1" applyFill="1"/>
    <xf numFmtId="165" fontId="0" fillId="3" borderId="0" xfId="1" applyNumberFormat="1" applyFont="1" applyFill="1"/>
    <xf numFmtId="165" fontId="0" fillId="3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22336-24AE-49A3-94E1-A2A75844FF21}">
  <dimension ref="A1:Q202"/>
  <sheetViews>
    <sheetView topLeftCell="E1" zoomScale="89" zoomScaleNormal="89" workbookViewId="0">
      <pane ySplit="3" topLeftCell="A4" activePane="bottomLeft" state="frozen"/>
      <selection pane="bottomLeft" activeCell="G5" sqref="G5"/>
    </sheetView>
  </sheetViews>
  <sheetFormatPr defaultRowHeight="14.5" x14ac:dyDescent="0.35"/>
  <cols>
    <col min="1" max="1" width="31.453125" bestFit="1" customWidth="1"/>
    <col min="2" max="2" width="11.453125" bestFit="1" customWidth="1"/>
    <col min="3" max="3" width="12.26953125" bestFit="1" customWidth="1"/>
    <col min="4" max="4" width="16.7265625" bestFit="1" customWidth="1"/>
    <col min="5" max="5" width="13.26953125" customWidth="1"/>
    <col min="6" max="6" width="14" customWidth="1"/>
    <col min="7" max="7" width="18.1796875" customWidth="1"/>
    <col min="8" max="8" width="16.26953125" customWidth="1"/>
    <col min="9" max="9" width="19.54296875" customWidth="1"/>
    <col min="10" max="10" width="13.453125" customWidth="1"/>
    <col min="11" max="11" width="14" bestFit="1" customWidth="1"/>
    <col min="12" max="12" width="17" customWidth="1"/>
    <col min="13" max="13" width="16.453125" customWidth="1"/>
    <col min="15" max="15" width="23" bestFit="1" customWidth="1"/>
    <col min="16" max="16" width="16.81640625" bestFit="1" customWidth="1"/>
  </cols>
  <sheetData>
    <row r="1" spans="1:16" ht="15" customHeight="1" x14ac:dyDescent="0.35">
      <c r="A1" s="9" t="s">
        <v>0</v>
      </c>
      <c r="B1" s="9" t="s">
        <v>1</v>
      </c>
      <c r="C1" s="9" t="s">
        <v>2</v>
      </c>
      <c r="D1" s="9" t="s">
        <v>3</v>
      </c>
      <c r="E1" s="11" t="s">
        <v>4</v>
      </c>
      <c r="F1" s="11" t="s">
        <v>245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O1" t="s">
        <v>12</v>
      </c>
      <c r="P1" s="1">
        <v>5</v>
      </c>
    </row>
    <row r="2" spans="1:16" ht="15" customHeight="1" x14ac:dyDescent="0.35">
      <c r="A2" s="9"/>
      <c r="B2" s="9"/>
      <c r="C2" s="9"/>
      <c r="D2" s="9"/>
      <c r="E2" s="11"/>
      <c r="F2" s="11"/>
      <c r="G2" s="11"/>
      <c r="H2" s="11"/>
      <c r="I2" s="11"/>
      <c r="J2" s="11"/>
      <c r="K2" s="11"/>
      <c r="L2" s="11"/>
      <c r="M2" s="11"/>
      <c r="O2" t="s">
        <v>11</v>
      </c>
      <c r="P2" s="1">
        <f>M201</f>
        <v>0</v>
      </c>
    </row>
    <row r="3" spans="1:16" ht="15.75" customHeight="1" thickBot="1" x14ac:dyDescent="0.4">
      <c r="A3" s="10"/>
      <c r="B3" s="10"/>
      <c r="C3" s="10"/>
      <c r="D3" s="10"/>
      <c r="E3" s="12"/>
      <c r="F3" s="12"/>
      <c r="G3" s="12"/>
      <c r="H3" s="12"/>
      <c r="I3" s="12"/>
      <c r="J3" s="12"/>
      <c r="K3" s="12"/>
      <c r="L3" s="12"/>
      <c r="M3" s="12"/>
      <c r="O3" t="s">
        <v>246</v>
      </c>
      <c r="P3" s="4"/>
    </row>
    <row r="4" spans="1:16" x14ac:dyDescent="0.35">
      <c r="A4" t="s">
        <v>13</v>
      </c>
      <c r="B4" t="s">
        <v>14</v>
      </c>
      <c r="C4" t="s">
        <v>15</v>
      </c>
      <c r="D4" t="s">
        <v>16</v>
      </c>
      <c r="E4" s="1">
        <v>217.1575</v>
      </c>
      <c r="F4" s="2">
        <v>4652</v>
      </c>
      <c r="G4" s="7"/>
      <c r="H4" s="7"/>
      <c r="I4" s="7"/>
      <c r="J4" s="7"/>
      <c r="K4" s="3">
        <f>F4</f>
        <v>4652</v>
      </c>
      <c r="L4" s="1"/>
      <c r="M4" s="7"/>
    </row>
    <row r="5" spans="1:16" x14ac:dyDescent="0.35">
      <c r="A5" t="s">
        <v>17</v>
      </c>
      <c r="B5" t="s">
        <v>14</v>
      </c>
      <c r="C5" t="s">
        <v>18</v>
      </c>
      <c r="D5" t="s">
        <v>19</v>
      </c>
      <c r="E5" s="1">
        <v>3.0074999999999998</v>
      </c>
      <c r="F5" s="2">
        <v>3952.25</v>
      </c>
      <c r="G5" s="7"/>
      <c r="H5" s="7"/>
      <c r="I5" s="7"/>
      <c r="J5" s="7"/>
      <c r="K5" s="3">
        <f t="shared" ref="K5:K68" si="0">F5</f>
        <v>3952.25</v>
      </c>
      <c r="L5" s="1"/>
      <c r="M5" s="7"/>
    </row>
    <row r="6" spans="1:16" x14ac:dyDescent="0.35">
      <c r="A6" t="s">
        <v>17</v>
      </c>
      <c r="B6" t="s">
        <v>14</v>
      </c>
      <c r="C6" t="s">
        <v>18</v>
      </c>
      <c r="D6" t="s">
        <v>19</v>
      </c>
      <c r="E6" s="1">
        <v>3.47</v>
      </c>
      <c r="F6" s="2">
        <v>4580.5</v>
      </c>
      <c r="G6" s="7"/>
      <c r="H6" s="7"/>
      <c r="I6" s="7"/>
      <c r="J6" s="7"/>
      <c r="K6" s="3">
        <f t="shared" si="0"/>
        <v>4580.5</v>
      </c>
      <c r="L6" s="1"/>
      <c r="M6" s="7"/>
    </row>
    <row r="7" spans="1:16" x14ac:dyDescent="0.35">
      <c r="A7" t="s">
        <v>17</v>
      </c>
      <c r="B7" t="s">
        <v>14</v>
      </c>
      <c r="C7" t="s">
        <v>18</v>
      </c>
      <c r="D7" t="s">
        <v>19</v>
      </c>
      <c r="E7" s="1">
        <v>3.2725</v>
      </c>
      <c r="F7" s="2">
        <v>4455.25</v>
      </c>
      <c r="G7" s="7"/>
      <c r="H7" s="7"/>
      <c r="I7" s="7"/>
      <c r="J7" s="7"/>
      <c r="K7" s="3">
        <f t="shared" si="0"/>
        <v>4455.25</v>
      </c>
      <c r="L7" s="1"/>
      <c r="M7" s="7"/>
    </row>
    <row r="8" spans="1:16" x14ac:dyDescent="0.35">
      <c r="A8" t="s">
        <v>20</v>
      </c>
      <c r="B8" t="s">
        <v>14</v>
      </c>
      <c r="C8" t="s">
        <v>15</v>
      </c>
      <c r="D8" t="s">
        <v>16</v>
      </c>
      <c r="E8" s="1">
        <v>44.05</v>
      </c>
      <c r="F8" s="2">
        <v>4523.75</v>
      </c>
      <c r="G8" s="7"/>
      <c r="H8" s="7"/>
      <c r="I8" s="7"/>
      <c r="J8" s="7"/>
      <c r="K8" s="3">
        <f t="shared" si="0"/>
        <v>4523.75</v>
      </c>
      <c r="L8" s="1"/>
      <c r="M8" s="7"/>
    </row>
    <row r="9" spans="1:16" x14ac:dyDescent="0.35">
      <c r="A9" t="s">
        <v>20</v>
      </c>
      <c r="B9" t="s">
        <v>14</v>
      </c>
      <c r="C9" t="s">
        <v>15</v>
      </c>
      <c r="D9" t="s">
        <v>16</v>
      </c>
      <c r="E9" s="1">
        <v>42.534999999999997</v>
      </c>
      <c r="F9" s="2">
        <v>3921</v>
      </c>
      <c r="G9" s="7"/>
      <c r="H9" s="7"/>
      <c r="I9" s="7"/>
      <c r="J9" s="7"/>
      <c r="K9" s="3">
        <f t="shared" si="0"/>
        <v>3921</v>
      </c>
      <c r="L9" s="1"/>
      <c r="M9" s="7"/>
      <c r="N9" s="4"/>
    </row>
    <row r="10" spans="1:16" x14ac:dyDescent="0.35">
      <c r="A10" t="s">
        <v>20</v>
      </c>
      <c r="B10" t="s">
        <v>14</v>
      </c>
      <c r="C10" t="s">
        <v>15</v>
      </c>
      <c r="D10" t="s">
        <v>16</v>
      </c>
      <c r="E10" s="1">
        <v>51.157499999999999</v>
      </c>
      <c r="F10" s="2">
        <v>4975.25</v>
      </c>
      <c r="G10" s="7"/>
      <c r="H10" s="7"/>
      <c r="I10" s="7"/>
      <c r="J10" s="7"/>
      <c r="K10" s="3">
        <f t="shared" si="0"/>
        <v>4975.25</v>
      </c>
      <c r="L10" s="1"/>
      <c r="M10" s="7"/>
    </row>
    <row r="11" spans="1:16" x14ac:dyDescent="0.35">
      <c r="A11" t="s">
        <v>21</v>
      </c>
      <c r="B11" t="s">
        <v>14</v>
      </c>
      <c r="C11" t="s">
        <v>15</v>
      </c>
      <c r="D11" t="s">
        <v>22</v>
      </c>
      <c r="E11" s="1">
        <v>154.25749999999999</v>
      </c>
      <c r="F11" s="2">
        <v>4602</v>
      </c>
      <c r="G11" s="7"/>
      <c r="H11" s="7"/>
      <c r="I11" s="7"/>
      <c r="J11" s="7"/>
      <c r="K11" s="3">
        <f t="shared" si="0"/>
        <v>4602</v>
      </c>
      <c r="L11" s="1"/>
      <c r="M11" s="7"/>
    </row>
    <row r="12" spans="1:16" x14ac:dyDescent="0.35">
      <c r="A12" t="s">
        <v>21</v>
      </c>
      <c r="B12" t="s">
        <v>14</v>
      </c>
      <c r="C12" t="s">
        <v>15</v>
      </c>
      <c r="D12" t="s">
        <v>22</v>
      </c>
      <c r="E12" s="1">
        <v>163.42500000000001</v>
      </c>
      <c r="F12" s="2">
        <v>4767</v>
      </c>
      <c r="G12" s="7"/>
      <c r="H12" s="7"/>
      <c r="I12" s="7"/>
      <c r="J12" s="7"/>
      <c r="K12" s="3">
        <f t="shared" si="0"/>
        <v>4767</v>
      </c>
      <c r="L12" s="1"/>
      <c r="M12" s="7"/>
    </row>
    <row r="13" spans="1:16" x14ac:dyDescent="0.35">
      <c r="A13" t="s">
        <v>21</v>
      </c>
      <c r="B13" t="s">
        <v>14</v>
      </c>
      <c r="C13" t="s">
        <v>15</v>
      </c>
      <c r="D13" t="s">
        <v>22</v>
      </c>
      <c r="E13" s="1">
        <v>184.76</v>
      </c>
      <c r="F13" s="2">
        <v>4921.5</v>
      </c>
      <c r="G13" s="7"/>
      <c r="H13" s="7"/>
      <c r="I13" s="7"/>
      <c r="J13" s="7"/>
      <c r="K13" s="3">
        <f t="shared" si="0"/>
        <v>4921.5</v>
      </c>
      <c r="L13" s="1"/>
      <c r="M13" s="7"/>
    </row>
    <row r="14" spans="1:16" x14ac:dyDescent="0.35">
      <c r="A14" t="s">
        <v>23</v>
      </c>
      <c r="B14" t="s">
        <v>14</v>
      </c>
      <c r="C14" t="s">
        <v>24</v>
      </c>
      <c r="D14" t="s">
        <v>25</v>
      </c>
      <c r="E14" s="1">
        <v>103.28749999999999</v>
      </c>
      <c r="F14" s="2">
        <v>4186.5</v>
      </c>
      <c r="G14" s="7"/>
      <c r="H14" s="7"/>
      <c r="I14" s="7"/>
      <c r="J14" s="7"/>
      <c r="K14" s="3">
        <f t="shared" si="0"/>
        <v>4186.5</v>
      </c>
      <c r="L14" s="1"/>
      <c r="M14" s="7"/>
    </row>
    <row r="15" spans="1:16" x14ac:dyDescent="0.35">
      <c r="A15" t="s">
        <v>23</v>
      </c>
      <c r="B15" t="s">
        <v>14</v>
      </c>
      <c r="C15" t="s">
        <v>24</v>
      </c>
      <c r="D15" t="s">
        <v>25</v>
      </c>
      <c r="E15" s="1">
        <v>121.67749999999999</v>
      </c>
      <c r="F15" s="2">
        <v>4174.25</v>
      </c>
      <c r="G15" s="7"/>
      <c r="H15" s="7"/>
      <c r="I15" s="7"/>
      <c r="J15" s="7"/>
      <c r="K15" s="3">
        <f t="shared" si="0"/>
        <v>4174.25</v>
      </c>
      <c r="L15" s="1"/>
      <c r="M15" s="7"/>
    </row>
    <row r="16" spans="1:16" x14ac:dyDescent="0.35">
      <c r="A16" t="s">
        <v>26</v>
      </c>
      <c r="B16" t="s">
        <v>14</v>
      </c>
      <c r="C16" t="s">
        <v>24</v>
      </c>
      <c r="D16" t="s">
        <v>25</v>
      </c>
      <c r="E16" s="1">
        <v>103.28749999999999</v>
      </c>
      <c r="F16" s="2">
        <v>4573.75</v>
      </c>
      <c r="G16" s="7"/>
      <c r="H16" s="7"/>
      <c r="I16" s="7"/>
      <c r="J16" s="7"/>
      <c r="K16" s="3">
        <f t="shared" si="0"/>
        <v>4573.75</v>
      </c>
      <c r="L16" s="1"/>
      <c r="M16" s="7"/>
    </row>
    <row r="17" spans="1:15" x14ac:dyDescent="0.35">
      <c r="A17" t="s">
        <v>26</v>
      </c>
      <c r="B17" t="s">
        <v>14</v>
      </c>
      <c r="C17" t="s">
        <v>24</v>
      </c>
      <c r="D17" t="s">
        <v>25</v>
      </c>
      <c r="E17" s="1">
        <v>121.67749999999999</v>
      </c>
      <c r="F17" s="2">
        <v>4411.25</v>
      </c>
      <c r="G17" s="7"/>
      <c r="H17" s="7"/>
      <c r="I17" s="7"/>
      <c r="J17" s="7"/>
      <c r="K17" s="3">
        <f t="shared" si="0"/>
        <v>4411.25</v>
      </c>
      <c r="L17" s="1"/>
      <c r="M17" s="7"/>
    </row>
    <row r="18" spans="1:15" x14ac:dyDescent="0.35">
      <c r="A18" t="s">
        <v>27</v>
      </c>
      <c r="B18" t="s">
        <v>14</v>
      </c>
      <c r="C18" t="s">
        <v>24</v>
      </c>
      <c r="D18" t="s">
        <v>28</v>
      </c>
      <c r="E18" s="1">
        <v>474.52249999999998</v>
      </c>
      <c r="F18" s="2">
        <v>4250.25</v>
      </c>
      <c r="G18" s="7"/>
      <c r="H18" s="7"/>
      <c r="I18" s="7"/>
      <c r="J18" s="7"/>
      <c r="K18" s="3">
        <f t="shared" si="0"/>
        <v>4250.25</v>
      </c>
      <c r="L18" s="1"/>
      <c r="M18" s="7"/>
    </row>
    <row r="19" spans="1:15" x14ac:dyDescent="0.35">
      <c r="A19" t="s">
        <v>29</v>
      </c>
      <c r="B19" t="s">
        <v>14</v>
      </c>
      <c r="C19" t="s">
        <v>24</v>
      </c>
      <c r="D19" t="s">
        <v>28</v>
      </c>
      <c r="E19" s="1">
        <v>474.52249999999998</v>
      </c>
      <c r="F19" s="2">
        <v>4522.25</v>
      </c>
      <c r="G19" s="7"/>
      <c r="H19" s="7"/>
      <c r="I19" s="7"/>
      <c r="J19" s="7"/>
      <c r="K19" s="3">
        <f t="shared" si="0"/>
        <v>4522.25</v>
      </c>
      <c r="L19" s="1"/>
      <c r="M19" s="7"/>
    </row>
    <row r="20" spans="1:15" x14ac:dyDescent="0.35">
      <c r="A20" t="s">
        <v>30</v>
      </c>
      <c r="B20" t="s">
        <v>14</v>
      </c>
      <c r="C20" t="s">
        <v>24</v>
      </c>
      <c r="D20" t="s">
        <v>28</v>
      </c>
      <c r="E20" s="1">
        <v>474.52249999999998</v>
      </c>
      <c r="F20" s="2">
        <v>4188.25</v>
      </c>
      <c r="G20" s="7"/>
      <c r="H20" s="7"/>
      <c r="I20" s="7"/>
      <c r="J20" s="7"/>
      <c r="K20" s="3">
        <f t="shared" si="0"/>
        <v>4188.25</v>
      </c>
      <c r="L20" s="1"/>
      <c r="M20" s="7"/>
    </row>
    <row r="21" spans="1:15" x14ac:dyDescent="0.35">
      <c r="A21" t="s">
        <v>31</v>
      </c>
      <c r="B21" t="s">
        <v>14</v>
      </c>
      <c r="C21" t="s">
        <v>24</v>
      </c>
      <c r="D21" t="s">
        <v>28</v>
      </c>
      <c r="E21" s="1">
        <v>474.52249999999998</v>
      </c>
      <c r="F21" s="2">
        <v>3981.75</v>
      </c>
      <c r="G21" s="7"/>
      <c r="H21" s="7"/>
      <c r="I21" s="7"/>
      <c r="J21" s="7"/>
      <c r="K21" s="3">
        <f t="shared" si="0"/>
        <v>3981.75</v>
      </c>
      <c r="L21" s="1"/>
      <c r="M21" s="7"/>
    </row>
    <row r="22" spans="1:15" x14ac:dyDescent="0.35">
      <c r="A22" t="s">
        <v>32</v>
      </c>
      <c r="B22" t="s">
        <v>14</v>
      </c>
      <c r="C22" t="s">
        <v>24</v>
      </c>
      <c r="D22" t="s">
        <v>28</v>
      </c>
      <c r="E22" s="1">
        <v>276.45249999999999</v>
      </c>
      <c r="F22" s="2">
        <v>4690</v>
      </c>
      <c r="G22" s="7"/>
      <c r="H22" s="7"/>
      <c r="I22" s="7"/>
      <c r="J22" s="7"/>
      <c r="K22" s="3">
        <f t="shared" si="0"/>
        <v>4690</v>
      </c>
      <c r="L22" s="1"/>
      <c r="M22" s="7"/>
      <c r="O22" s="6"/>
    </row>
    <row r="23" spans="1:15" x14ac:dyDescent="0.35">
      <c r="A23" t="s">
        <v>32</v>
      </c>
      <c r="B23" t="s">
        <v>14</v>
      </c>
      <c r="C23" t="s">
        <v>24</v>
      </c>
      <c r="D23" t="s">
        <v>28</v>
      </c>
      <c r="E23" s="1">
        <v>312.995</v>
      </c>
      <c r="F23" s="2">
        <v>3997.75</v>
      </c>
      <c r="G23" s="7"/>
      <c r="H23" s="7"/>
      <c r="I23" s="7"/>
      <c r="J23" s="7"/>
      <c r="K23" s="3">
        <f t="shared" si="0"/>
        <v>3997.75</v>
      </c>
      <c r="L23" s="1"/>
      <c r="M23" s="7"/>
    </row>
    <row r="24" spans="1:15" x14ac:dyDescent="0.35">
      <c r="A24" t="s">
        <v>33</v>
      </c>
      <c r="B24" t="s">
        <v>14</v>
      </c>
      <c r="C24" t="s">
        <v>24</v>
      </c>
      <c r="D24" t="s">
        <v>25</v>
      </c>
      <c r="E24" s="1">
        <v>330.17</v>
      </c>
      <c r="F24" s="2">
        <v>4428.75</v>
      </c>
      <c r="G24" s="7"/>
      <c r="H24" s="7"/>
      <c r="I24" s="7"/>
      <c r="J24" s="7"/>
      <c r="K24" s="3">
        <f t="shared" si="0"/>
        <v>4428.75</v>
      </c>
      <c r="L24" s="1"/>
      <c r="M24" s="7"/>
    </row>
    <row r="25" spans="1:15" x14ac:dyDescent="0.35">
      <c r="A25" t="s">
        <v>34</v>
      </c>
      <c r="B25" t="s">
        <v>14</v>
      </c>
      <c r="C25" t="s">
        <v>24</v>
      </c>
      <c r="D25" t="s">
        <v>25</v>
      </c>
      <c r="E25" s="1">
        <v>330.17</v>
      </c>
      <c r="F25" s="2">
        <v>3995.5</v>
      </c>
      <c r="G25" s="7"/>
      <c r="H25" s="7"/>
      <c r="I25" s="7"/>
      <c r="J25" s="7"/>
      <c r="K25" s="3">
        <f t="shared" si="0"/>
        <v>3995.5</v>
      </c>
      <c r="L25" s="1"/>
      <c r="M25" s="7"/>
    </row>
    <row r="26" spans="1:15" x14ac:dyDescent="0.35">
      <c r="A26" t="s">
        <v>35</v>
      </c>
      <c r="B26" t="s">
        <v>14</v>
      </c>
      <c r="C26" t="s">
        <v>15</v>
      </c>
      <c r="D26" t="s">
        <v>22</v>
      </c>
      <c r="E26" s="1">
        <v>46.454999999999998</v>
      </c>
      <c r="F26" s="2">
        <v>4210.75</v>
      </c>
      <c r="G26" s="7"/>
      <c r="H26" s="7"/>
      <c r="I26" s="7"/>
      <c r="J26" s="7"/>
      <c r="K26" s="3">
        <f t="shared" si="0"/>
        <v>4210.75</v>
      </c>
      <c r="L26" s="1"/>
      <c r="M26" s="7"/>
    </row>
    <row r="27" spans="1:15" x14ac:dyDescent="0.35">
      <c r="A27" t="s">
        <v>36</v>
      </c>
      <c r="B27" t="s">
        <v>14</v>
      </c>
      <c r="C27" t="s">
        <v>15</v>
      </c>
      <c r="D27" t="s">
        <v>37</v>
      </c>
      <c r="E27" s="1">
        <v>6.7424999999999997</v>
      </c>
      <c r="F27" s="2">
        <v>4178</v>
      </c>
      <c r="G27" s="7"/>
      <c r="H27" s="7"/>
      <c r="I27" s="7"/>
      <c r="J27" s="7"/>
      <c r="K27" s="3">
        <f t="shared" si="0"/>
        <v>4178</v>
      </c>
      <c r="L27" s="1"/>
      <c r="M27" s="7"/>
    </row>
    <row r="28" spans="1:15" x14ac:dyDescent="0.35">
      <c r="A28" t="s">
        <v>38</v>
      </c>
      <c r="B28" t="s">
        <v>14</v>
      </c>
      <c r="C28" t="s">
        <v>15</v>
      </c>
      <c r="D28" t="s">
        <v>37</v>
      </c>
      <c r="E28" s="1">
        <v>23.202500000000001</v>
      </c>
      <c r="F28" s="2">
        <v>3779</v>
      </c>
      <c r="G28" s="7"/>
      <c r="H28" s="7"/>
      <c r="I28" s="7"/>
      <c r="J28" s="7"/>
      <c r="K28" s="3">
        <f t="shared" si="0"/>
        <v>3779</v>
      </c>
      <c r="L28" s="1"/>
      <c r="M28" s="7"/>
    </row>
    <row r="29" spans="1:15" x14ac:dyDescent="0.35">
      <c r="A29" t="s">
        <v>39</v>
      </c>
      <c r="B29" t="s">
        <v>14</v>
      </c>
      <c r="C29" t="s">
        <v>15</v>
      </c>
      <c r="D29" t="s">
        <v>37</v>
      </c>
      <c r="E29" s="1">
        <v>33.325000000000003</v>
      </c>
      <c r="F29" s="2">
        <v>4019.25</v>
      </c>
      <c r="G29" s="7"/>
      <c r="H29" s="7"/>
      <c r="I29" s="7"/>
      <c r="J29" s="7"/>
      <c r="K29" s="3">
        <f t="shared" si="0"/>
        <v>4019.25</v>
      </c>
      <c r="L29" s="1"/>
      <c r="M29" s="7"/>
    </row>
    <row r="30" spans="1:15" x14ac:dyDescent="0.35">
      <c r="A30" t="s">
        <v>40</v>
      </c>
      <c r="B30" t="s">
        <v>14</v>
      </c>
      <c r="C30" t="s">
        <v>15</v>
      </c>
      <c r="D30" t="s">
        <v>37</v>
      </c>
      <c r="E30" s="1">
        <v>9.74</v>
      </c>
      <c r="F30" s="2">
        <v>4449.75</v>
      </c>
      <c r="G30" s="7"/>
      <c r="H30" s="7"/>
      <c r="I30" s="7"/>
      <c r="J30" s="7"/>
      <c r="K30" s="3">
        <f t="shared" si="0"/>
        <v>4449.75</v>
      </c>
      <c r="L30" s="1"/>
      <c r="M30" s="7"/>
    </row>
    <row r="31" spans="1:15" x14ac:dyDescent="0.35">
      <c r="A31" t="s">
        <v>41</v>
      </c>
      <c r="B31" t="s">
        <v>14</v>
      </c>
      <c r="C31" t="s">
        <v>15</v>
      </c>
      <c r="D31" t="s">
        <v>37</v>
      </c>
      <c r="E31" s="1">
        <v>26.2</v>
      </c>
      <c r="F31" s="2">
        <v>4888.25</v>
      </c>
      <c r="G31" s="7"/>
      <c r="H31" s="7"/>
      <c r="I31" s="7"/>
      <c r="J31" s="7"/>
      <c r="K31" s="3">
        <f t="shared" si="0"/>
        <v>4888.25</v>
      </c>
      <c r="L31" s="1"/>
      <c r="M31" s="7"/>
    </row>
    <row r="32" spans="1:15" x14ac:dyDescent="0.35">
      <c r="A32" t="s">
        <v>42</v>
      </c>
      <c r="B32" t="s">
        <v>14</v>
      </c>
      <c r="C32" t="s">
        <v>15</v>
      </c>
      <c r="D32" t="s">
        <v>37</v>
      </c>
      <c r="E32" s="1">
        <v>36.32</v>
      </c>
      <c r="F32" s="2">
        <v>3775.25</v>
      </c>
      <c r="G32" s="7"/>
      <c r="H32" s="7"/>
      <c r="I32" s="7"/>
      <c r="J32" s="7"/>
      <c r="K32" s="3">
        <f t="shared" si="0"/>
        <v>3775.25</v>
      </c>
      <c r="L32" s="1"/>
      <c r="M32" s="7"/>
    </row>
    <row r="33" spans="1:13" x14ac:dyDescent="0.35">
      <c r="A33" t="s">
        <v>43</v>
      </c>
      <c r="B33" t="s">
        <v>14</v>
      </c>
      <c r="C33" t="s">
        <v>15</v>
      </c>
      <c r="D33" t="s">
        <v>37</v>
      </c>
      <c r="E33" s="1">
        <v>12.494999999999999</v>
      </c>
      <c r="F33" s="2">
        <v>4887</v>
      </c>
      <c r="G33" s="7"/>
      <c r="H33" s="7"/>
      <c r="I33" s="7"/>
      <c r="J33" s="7"/>
      <c r="K33" s="3">
        <f t="shared" si="0"/>
        <v>4887</v>
      </c>
      <c r="L33" s="1"/>
      <c r="M33" s="7"/>
    </row>
    <row r="34" spans="1:13" x14ac:dyDescent="0.35">
      <c r="A34" t="s">
        <v>44</v>
      </c>
      <c r="B34" t="s">
        <v>14</v>
      </c>
      <c r="C34" t="s">
        <v>15</v>
      </c>
      <c r="D34" t="s">
        <v>22</v>
      </c>
      <c r="E34" s="1">
        <v>46.454999999999998</v>
      </c>
      <c r="F34" s="2">
        <v>4725.25</v>
      </c>
      <c r="G34" s="7"/>
      <c r="H34" s="7"/>
      <c r="I34" s="7"/>
      <c r="J34" s="7"/>
      <c r="K34" s="3">
        <f t="shared" si="0"/>
        <v>4725.25</v>
      </c>
      <c r="L34" s="1"/>
      <c r="M34" s="7"/>
    </row>
    <row r="35" spans="1:13" x14ac:dyDescent="0.35">
      <c r="A35" t="s">
        <v>45</v>
      </c>
      <c r="B35" t="s">
        <v>14</v>
      </c>
      <c r="C35" t="s">
        <v>15</v>
      </c>
      <c r="D35" t="s">
        <v>22</v>
      </c>
      <c r="E35" s="1">
        <v>46.454999999999998</v>
      </c>
      <c r="F35" s="2">
        <v>4326.25</v>
      </c>
      <c r="G35" s="7"/>
      <c r="H35" s="7"/>
      <c r="I35" s="7"/>
      <c r="J35" s="7"/>
      <c r="K35" s="3">
        <f t="shared" si="0"/>
        <v>4326.25</v>
      </c>
      <c r="L35" s="1"/>
      <c r="M35" s="7"/>
    </row>
    <row r="36" spans="1:13" x14ac:dyDescent="0.35">
      <c r="A36" t="s">
        <v>46</v>
      </c>
      <c r="B36" t="s">
        <v>14</v>
      </c>
      <c r="C36" t="s">
        <v>15</v>
      </c>
      <c r="D36" t="s">
        <v>22</v>
      </c>
      <c r="E36" s="1">
        <v>46.454999999999998</v>
      </c>
      <c r="F36" s="2">
        <v>3953.5</v>
      </c>
      <c r="G36" s="7"/>
      <c r="H36" s="7"/>
      <c r="I36" s="7"/>
      <c r="J36" s="7"/>
      <c r="K36" s="3">
        <f t="shared" si="0"/>
        <v>3953.5</v>
      </c>
      <c r="L36" s="1"/>
      <c r="M36" s="7"/>
    </row>
    <row r="37" spans="1:13" x14ac:dyDescent="0.35">
      <c r="A37" t="s">
        <v>47</v>
      </c>
      <c r="B37" t="s">
        <v>14</v>
      </c>
      <c r="C37" t="s">
        <v>15</v>
      </c>
      <c r="D37" t="s">
        <v>16</v>
      </c>
      <c r="E37" s="1">
        <v>180.565</v>
      </c>
      <c r="F37" s="2">
        <v>4226.5</v>
      </c>
      <c r="G37" s="7"/>
      <c r="H37" s="7"/>
      <c r="I37" s="7"/>
      <c r="J37" s="7"/>
      <c r="K37" s="3">
        <f t="shared" si="0"/>
        <v>4226.5</v>
      </c>
      <c r="L37" s="1"/>
      <c r="M37" s="7"/>
    </row>
    <row r="38" spans="1:13" x14ac:dyDescent="0.35">
      <c r="A38" t="s">
        <v>48</v>
      </c>
      <c r="B38" t="s">
        <v>14</v>
      </c>
      <c r="C38" t="s">
        <v>15</v>
      </c>
      <c r="D38" t="s">
        <v>16</v>
      </c>
      <c r="E38" s="1">
        <v>217.1575</v>
      </c>
      <c r="F38" s="2">
        <v>4217.25</v>
      </c>
      <c r="G38" s="7"/>
      <c r="H38" s="7"/>
      <c r="I38" s="7"/>
      <c r="J38" s="7"/>
      <c r="K38" s="3">
        <f t="shared" si="0"/>
        <v>4217.25</v>
      </c>
      <c r="L38" s="1"/>
      <c r="M38" s="7"/>
    </row>
    <row r="39" spans="1:13" x14ac:dyDescent="0.35">
      <c r="A39" t="s">
        <v>48</v>
      </c>
      <c r="B39" t="s">
        <v>14</v>
      </c>
      <c r="C39" t="s">
        <v>15</v>
      </c>
      <c r="D39" t="s">
        <v>16</v>
      </c>
      <c r="E39" s="1">
        <v>217.1575</v>
      </c>
      <c r="F39" s="2">
        <v>4117.75</v>
      </c>
      <c r="G39" s="7"/>
      <c r="H39" s="7"/>
      <c r="I39" s="7"/>
      <c r="J39" s="7"/>
      <c r="K39" s="3">
        <f t="shared" si="0"/>
        <v>4117.75</v>
      </c>
      <c r="L39" s="1"/>
      <c r="M39" s="7"/>
    </row>
    <row r="40" spans="1:13" x14ac:dyDescent="0.35">
      <c r="A40" t="s">
        <v>49</v>
      </c>
      <c r="B40" t="s">
        <v>14</v>
      </c>
      <c r="C40" t="s">
        <v>15</v>
      </c>
      <c r="D40" t="s">
        <v>16</v>
      </c>
      <c r="E40" s="1">
        <v>180.565</v>
      </c>
      <c r="F40" s="2">
        <v>3940.5</v>
      </c>
      <c r="G40" s="7"/>
      <c r="H40" s="7"/>
      <c r="I40" s="7"/>
      <c r="J40" s="7"/>
      <c r="K40" s="3">
        <f t="shared" si="0"/>
        <v>3940.5</v>
      </c>
      <c r="L40" s="1"/>
      <c r="M40" s="7"/>
    </row>
    <row r="41" spans="1:13" x14ac:dyDescent="0.35">
      <c r="A41" t="s">
        <v>50</v>
      </c>
      <c r="B41" t="s">
        <v>14</v>
      </c>
      <c r="C41" t="s">
        <v>15</v>
      </c>
      <c r="D41" t="s">
        <v>16</v>
      </c>
      <c r="E41" s="1">
        <v>180.565</v>
      </c>
      <c r="F41" s="2">
        <v>3801</v>
      </c>
      <c r="G41" s="7"/>
      <c r="H41" s="7"/>
      <c r="I41" s="7"/>
      <c r="J41" s="7"/>
      <c r="K41" s="3">
        <f t="shared" si="0"/>
        <v>3801</v>
      </c>
      <c r="L41" s="1"/>
      <c r="M41" s="7"/>
    </row>
    <row r="42" spans="1:13" x14ac:dyDescent="0.35">
      <c r="A42" t="s">
        <v>51</v>
      </c>
      <c r="B42" t="s">
        <v>14</v>
      </c>
      <c r="C42" t="s">
        <v>52</v>
      </c>
      <c r="D42" t="s">
        <v>53</v>
      </c>
      <c r="E42" s="1">
        <v>6.1875</v>
      </c>
      <c r="F42" s="2">
        <v>3766.25</v>
      </c>
      <c r="G42" s="7"/>
      <c r="H42" s="7"/>
      <c r="I42" s="7"/>
      <c r="J42" s="7"/>
      <c r="K42" s="3">
        <f t="shared" si="0"/>
        <v>3766.25</v>
      </c>
      <c r="L42" s="1"/>
      <c r="M42" s="7"/>
    </row>
    <row r="43" spans="1:13" x14ac:dyDescent="0.35">
      <c r="A43" t="s">
        <v>54</v>
      </c>
      <c r="B43" t="s">
        <v>14</v>
      </c>
      <c r="C43" t="s">
        <v>52</v>
      </c>
      <c r="D43" t="s">
        <v>53</v>
      </c>
      <c r="E43" s="1">
        <v>6.1875</v>
      </c>
      <c r="F43" s="2">
        <v>4846.5</v>
      </c>
      <c r="G43" s="7"/>
      <c r="H43" s="7"/>
      <c r="I43" s="7"/>
      <c r="J43" s="7"/>
      <c r="K43" s="3">
        <f t="shared" si="0"/>
        <v>4846.5</v>
      </c>
      <c r="L43" s="1"/>
      <c r="M43" s="7"/>
    </row>
    <row r="44" spans="1:13" x14ac:dyDescent="0.35">
      <c r="A44" t="s">
        <v>55</v>
      </c>
      <c r="B44" t="s">
        <v>14</v>
      </c>
      <c r="C44" t="s">
        <v>52</v>
      </c>
      <c r="D44" t="s">
        <v>53</v>
      </c>
      <c r="E44" s="1">
        <v>6.1875</v>
      </c>
      <c r="F44" s="2">
        <v>4564.75</v>
      </c>
      <c r="G44" s="7"/>
      <c r="H44" s="7"/>
      <c r="I44" s="7"/>
      <c r="J44" s="7"/>
      <c r="K44" s="3">
        <f t="shared" si="0"/>
        <v>4564.75</v>
      </c>
      <c r="L44" s="1"/>
      <c r="M44" s="7"/>
    </row>
    <row r="45" spans="1:13" x14ac:dyDescent="0.35">
      <c r="A45" t="s">
        <v>56</v>
      </c>
      <c r="B45" t="s">
        <v>14</v>
      </c>
      <c r="C45" t="s">
        <v>52</v>
      </c>
      <c r="D45" t="s">
        <v>53</v>
      </c>
      <c r="E45" s="1">
        <v>6.1875</v>
      </c>
      <c r="F45" s="2">
        <v>4899.75</v>
      </c>
      <c r="G45" s="7"/>
      <c r="H45" s="7"/>
      <c r="I45" s="7"/>
      <c r="J45" s="7"/>
      <c r="K45" s="3">
        <f t="shared" si="0"/>
        <v>4899.75</v>
      </c>
      <c r="L45" s="1"/>
      <c r="M45" s="7"/>
    </row>
    <row r="46" spans="1:13" x14ac:dyDescent="0.35">
      <c r="A46" t="s">
        <v>57</v>
      </c>
      <c r="B46" t="s">
        <v>14</v>
      </c>
      <c r="C46" t="s">
        <v>52</v>
      </c>
      <c r="D46" t="s">
        <v>58</v>
      </c>
      <c r="E46" s="1">
        <v>7.7324999999999999</v>
      </c>
      <c r="F46" s="2">
        <v>4096.25</v>
      </c>
      <c r="G46" s="7"/>
      <c r="H46" s="7"/>
      <c r="I46" s="7"/>
      <c r="J46" s="7"/>
      <c r="K46" s="3">
        <f t="shared" si="0"/>
        <v>4096.25</v>
      </c>
      <c r="L46" s="1"/>
      <c r="M46" s="7"/>
    </row>
    <row r="47" spans="1:13" x14ac:dyDescent="0.35">
      <c r="A47" t="s">
        <v>59</v>
      </c>
      <c r="B47" t="s">
        <v>14</v>
      </c>
      <c r="C47" t="s">
        <v>52</v>
      </c>
      <c r="D47" t="s">
        <v>58</v>
      </c>
      <c r="E47" s="1">
        <v>7.7324999999999999</v>
      </c>
      <c r="F47" s="2">
        <v>4189.5</v>
      </c>
      <c r="G47" s="7"/>
      <c r="H47" s="7"/>
      <c r="I47" s="7"/>
      <c r="J47" s="7"/>
      <c r="K47" s="3">
        <f t="shared" si="0"/>
        <v>4189.5</v>
      </c>
      <c r="L47" s="1"/>
      <c r="M47" s="7"/>
    </row>
    <row r="48" spans="1:13" x14ac:dyDescent="0.35">
      <c r="A48" t="s">
        <v>60</v>
      </c>
      <c r="B48" t="s">
        <v>14</v>
      </c>
      <c r="C48" t="s">
        <v>52</v>
      </c>
      <c r="D48" t="s">
        <v>58</v>
      </c>
      <c r="E48" s="1">
        <v>7.7324999999999999</v>
      </c>
      <c r="F48" s="2">
        <v>4517.75</v>
      </c>
      <c r="G48" s="7"/>
      <c r="H48" s="7"/>
      <c r="I48" s="7"/>
      <c r="J48" s="7"/>
      <c r="K48" s="3">
        <f t="shared" si="0"/>
        <v>4517.75</v>
      </c>
      <c r="L48" s="1"/>
      <c r="M48" s="7"/>
    </row>
    <row r="49" spans="1:13" x14ac:dyDescent="0.35">
      <c r="A49" t="s">
        <v>61</v>
      </c>
      <c r="B49" t="s">
        <v>14</v>
      </c>
      <c r="C49" t="s">
        <v>52</v>
      </c>
      <c r="D49" t="s">
        <v>62</v>
      </c>
      <c r="E49" s="1">
        <v>2.4275000000000002</v>
      </c>
      <c r="F49" s="2">
        <v>4585</v>
      </c>
      <c r="G49" s="7"/>
      <c r="H49" s="7"/>
      <c r="I49" s="7"/>
      <c r="J49" s="7"/>
      <c r="K49" s="3">
        <f t="shared" si="0"/>
        <v>4585</v>
      </c>
      <c r="L49" s="1"/>
      <c r="M49" s="7"/>
    </row>
    <row r="50" spans="1:13" x14ac:dyDescent="0.35">
      <c r="A50" t="s">
        <v>61</v>
      </c>
      <c r="B50" t="s">
        <v>14</v>
      </c>
      <c r="C50" t="s">
        <v>52</v>
      </c>
      <c r="D50" t="s">
        <v>62</v>
      </c>
      <c r="E50" s="1">
        <v>2.29</v>
      </c>
      <c r="F50" s="2">
        <v>3779.25</v>
      </c>
      <c r="G50" s="7"/>
      <c r="H50" s="7"/>
      <c r="I50" s="7"/>
      <c r="J50" s="7"/>
      <c r="K50" s="3">
        <f t="shared" si="0"/>
        <v>3779.25</v>
      </c>
      <c r="L50" s="1"/>
      <c r="M50" s="7"/>
    </row>
    <row r="51" spans="1:13" x14ac:dyDescent="0.35">
      <c r="A51" t="s">
        <v>63</v>
      </c>
      <c r="B51" t="s">
        <v>14</v>
      </c>
      <c r="C51" t="s">
        <v>52</v>
      </c>
      <c r="D51" t="s">
        <v>62</v>
      </c>
      <c r="E51" s="1">
        <v>2.4275000000000002</v>
      </c>
      <c r="F51" s="2">
        <v>4572.25</v>
      </c>
      <c r="G51" s="7"/>
      <c r="H51" s="7"/>
      <c r="I51" s="7"/>
      <c r="J51" s="7"/>
      <c r="K51" s="3">
        <f t="shared" si="0"/>
        <v>4572.25</v>
      </c>
      <c r="L51" s="1"/>
      <c r="M51" s="7"/>
    </row>
    <row r="52" spans="1:13" x14ac:dyDescent="0.35">
      <c r="A52" t="s">
        <v>63</v>
      </c>
      <c r="B52" t="s">
        <v>14</v>
      </c>
      <c r="C52" t="s">
        <v>52</v>
      </c>
      <c r="D52" t="s">
        <v>62</v>
      </c>
      <c r="E52" s="1">
        <v>2.29</v>
      </c>
      <c r="F52" s="2">
        <v>4206.75</v>
      </c>
      <c r="G52" s="7"/>
      <c r="H52" s="7"/>
      <c r="I52" s="7"/>
      <c r="J52" s="7"/>
      <c r="K52" s="3">
        <f t="shared" si="0"/>
        <v>4206.75</v>
      </c>
      <c r="L52" s="1"/>
      <c r="M52" s="7"/>
    </row>
    <row r="53" spans="1:13" x14ac:dyDescent="0.35">
      <c r="A53" t="s">
        <v>64</v>
      </c>
      <c r="B53" t="s">
        <v>14</v>
      </c>
      <c r="C53" t="s">
        <v>52</v>
      </c>
      <c r="D53" t="s">
        <v>62</v>
      </c>
      <c r="E53" s="1">
        <v>2.4275000000000002</v>
      </c>
      <c r="F53" s="2">
        <v>4657.75</v>
      </c>
      <c r="G53" s="7"/>
      <c r="H53" s="7"/>
      <c r="I53" s="7"/>
      <c r="J53" s="7"/>
      <c r="K53" s="3">
        <f t="shared" si="0"/>
        <v>4657.75</v>
      </c>
      <c r="L53" s="1"/>
      <c r="M53" s="7"/>
    </row>
    <row r="54" spans="1:13" x14ac:dyDescent="0.35">
      <c r="A54" t="s">
        <v>64</v>
      </c>
      <c r="B54" t="s">
        <v>14</v>
      </c>
      <c r="C54" t="s">
        <v>52</v>
      </c>
      <c r="D54" t="s">
        <v>62</v>
      </c>
      <c r="E54" s="1">
        <v>2.29</v>
      </c>
      <c r="F54" s="2">
        <v>4590.25</v>
      </c>
      <c r="G54" s="7"/>
      <c r="H54" s="7"/>
      <c r="I54" s="7"/>
      <c r="J54" s="7"/>
      <c r="K54" s="3">
        <f t="shared" si="0"/>
        <v>4590.25</v>
      </c>
      <c r="L54" s="1"/>
      <c r="M54" s="7"/>
    </row>
    <row r="55" spans="1:13" x14ac:dyDescent="0.35">
      <c r="A55" t="s">
        <v>65</v>
      </c>
      <c r="B55" t="s">
        <v>14</v>
      </c>
      <c r="C55" t="s">
        <v>52</v>
      </c>
      <c r="D55" t="s">
        <v>62</v>
      </c>
      <c r="E55" s="1">
        <v>3.9175</v>
      </c>
      <c r="F55" s="2">
        <v>4896.75</v>
      </c>
      <c r="G55" s="7"/>
      <c r="H55" s="7"/>
      <c r="I55" s="7"/>
      <c r="J55" s="7"/>
      <c r="K55" s="3">
        <f t="shared" si="0"/>
        <v>4896.75</v>
      </c>
      <c r="L55" s="1"/>
      <c r="M55" s="7"/>
    </row>
    <row r="56" spans="1:13" x14ac:dyDescent="0.35">
      <c r="A56" t="s">
        <v>66</v>
      </c>
      <c r="B56" t="s">
        <v>14</v>
      </c>
      <c r="C56" t="s">
        <v>52</v>
      </c>
      <c r="D56" t="s">
        <v>62</v>
      </c>
      <c r="E56" s="1">
        <v>3.9175</v>
      </c>
      <c r="F56" s="2">
        <v>4746.25</v>
      </c>
      <c r="G56" s="7"/>
      <c r="H56" s="7"/>
      <c r="I56" s="7"/>
      <c r="J56" s="7"/>
      <c r="K56" s="3">
        <f t="shared" si="0"/>
        <v>4746.25</v>
      </c>
      <c r="L56" s="1"/>
      <c r="M56" s="7"/>
    </row>
    <row r="57" spans="1:13" x14ac:dyDescent="0.35">
      <c r="A57" t="s">
        <v>67</v>
      </c>
      <c r="B57" t="s">
        <v>14</v>
      </c>
      <c r="C57" t="s">
        <v>52</v>
      </c>
      <c r="D57" t="s">
        <v>62</v>
      </c>
      <c r="E57" s="1">
        <v>3.9175</v>
      </c>
      <c r="F57" s="2">
        <v>4312.5</v>
      </c>
      <c r="G57" s="7"/>
      <c r="H57" s="7"/>
      <c r="I57" s="7"/>
      <c r="J57" s="7"/>
      <c r="K57" s="3">
        <f t="shared" si="0"/>
        <v>4312.5</v>
      </c>
      <c r="L57" s="1"/>
      <c r="M57" s="7"/>
    </row>
    <row r="58" spans="1:13" x14ac:dyDescent="0.35">
      <c r="A58" t="s">
        <v>68</v>
      </c>
      <c r="B58" t="s">
        <v>14</v>
      </c>
      <c r="C58" t="s">
        <v>52</v>
      </c>
      <c r="D58" t="s">
        <v>53</v>
      </c>
      <c r="E58" s="1">
        <v>6.5449999999999999</v>
      </c>
      <c r="F58" s="2">
        <v>4481</v>
      </c>
      <c r="G58" s="7"/>
      <c r="H58" s="7"/>
      <c r="I58" s="7"/>
      <c r="J58" s="7"/>
      <c r="K58" s="3">
        <f t="shared" si="0"/>
        <v>4481</v>
      </c>
      <c r="L58" s="1"/>
      <c r="M58" s="7"/>
    </row>
    <row r="59" spans="1:13" x14ac:dyDescent="0.35">
      <c r="A59" t="s">
        <v>69</v>
      </c>
      <c r="B59" t="s">
        <v>14</v>
      </c>
      <c r="C59" t="s">
        <v>52</v>
      </c>
      <c r="D59" t="s">
        <v>53</v>
      </c>
      <c r="E59" s="1">
        <v>6.5449999999999999</v>
      </c>
      <c r="F59" s="2">
        <v>3828.5</v>
      </c>
      <c r="G59" s="7"/>
      <c r="H59" s="7"/>
      <c r="I59" s="7"/>
      <c r="J59" s="7"/>
      <c r="K59" s="3">
        <f t="shared" si="0"/>
        <v>3828.5</v>
      </c>
      <c r="L59" s="1"/>
      <c r="M59" s="7"/>
    </row>
    <row r="60" spans="1:13" x14ac:dyDescent="0.35">
      <c r="A60" t="s">
        <v>70</v>
      </c>
      <c r="B60" t="s">
        <v>14</v>
      </c>
      <c r="C60" t="s">
        <v>52</v>
      </c>
      <c r="D60" t="s">
        <v>53</v>
      </c>
      <c r="E60" s="1">
        <v>6.5449999999999999</v>
      </c>
      <c r="F60" s="2">
        <v>4142.75</v>
      </c>
      <c r="G60" s="7"/>
      <c r="H60" s="7"/>
      <c r="I60" s="7"/>
      <c r="J60" s="7"/>
      <c r="K60" s="3">
        <f t="shared" si="0"/>
        <v>4142.75</v>
      </c>
      <c r="L60" s="1"/>
      <c r="M60" s="7"/>
    </row>
    <row r="61" spans="1:13" x14ac:dyDescent="0.35">
      <c r="A61" t="s">
        <v>71</v>
      </c>
      <c r="B61" t="s">
        <v>14</v>
      </c>
      <c r="C61" t="s">
        <v>15</v>
      </c>
      <c r="D61" t="s">
        <v>72</v>
      </c>
      <c r="E61" s="1">
        <v>19.48</v>
      </c>
      <c r="F61" s="2">
        <v>4552.25</v>
      </c>
      <c r="G61" s="7"/>
      <c r="H61" s="7"/>
      <c r="I61" s="7"/>
      <c r="J61" s="7"/>
      <c r="K61" s="3">
        <f t="shared" si="0"/>
        <v>4552.25</v>
      </c>
      <c r="L61" s="1"/>
      <c r="M61" s="7"/>
    </row>
    <row r="62" spans="1:13" x14ac:dyDescent="0.35">
      <c r="A62" t="s">
        <v>73</v>
      </c>
      <c r="B62" t="s">
        <v>14</v>
      </c>
      <c r="C62" t="s">
        <v>15</v>
      </c>
      <c r="D62" t="s">
        <v>72</v>
      </c>
      <c r="E62" s="1">
        <v>28.47</v>
      </c>
      <c r="F62" s="2">
        <v>4809.25</v>
      </c>
      <c r="G62" s="7"/>
      <c r="H62" s="7"/>
      <c r="I62" s="7"/>
      <c r="J62" s="7"/>
      <c r="K62" s="3">
        <f t="shared" si="0"/>
        <v>4809.25</v>
      </c>
      <c r="L62" s="1"/>
      <c r="M62" s="7"/>
    </row>
    <row r="63" spans="1:13" x14ac:dyDescent="0.35">
      <c r="A63" t="s">
        <v>74</v>
      </c>
      <c r="B63" t="s">
        <v>14</v>
      </c>
      <c r="C63" t="s">
        <v>15</v>
      </c>
      <c r="D63" t="s">
        <v>72</v>
      </c>
      <c r="E63" s="1">
        <v>44.954999999999998</v>
      </c>
      <c r="F63" s="2">
        <v>4199.5</v>
      </c>
      <c r="G63" s="7"/>
      <c r="H63" s="7"/>
      <c r="I63" s="7"/>
      <c r="J63" s="7"/>
      <c r="K63" s="3">
        <f t="shared" si="0"/>
        <v>4199.5</v>
      </c>
      <c r="L63" s="1"/>
      <c r="M63" s="7"/>
    </row>
    <row r="64" spans="1:13" x14ac:dyDescent="0.35">
      <c r="A64" t="s">
        <v>75</v>
      </c>
      <c r="B64" t="s">
        <v>14</v>
      </c>
      <c r="C64" t="s">
        <v>24</v>
      </c>
      <c r="D64" t="s">
        <v>25</v>
      </c>
      <c r="E64" s="1">
        <v>85.912499999999994</v>
      </c>
      <c r="F64" s="2">
        <v>3987.25</v>
      </c>
      <c r="G64" s="7"/>
      <c r="H64" s="7"/>
      <c r="I64" s="7"/>
      <c r="J64" s="7"/>
      <c r="K64" s="3">
        <f t="shared" si="0"/>
        <v>3987.25</v>
      </c>
      <c r="L64" s="1"/>
      <c r="M64" s="7"/>
    </row>
    <row r="65" spans="1:13" x14ac:dyDescent="0.35">
      <c r="A65" t="s">
        <v>76</v>
      </c>
      <c r="B65" t="s">
        <v>14</v>
      </c>
      <c r="C65" t="s">
        <v>24</v>
      </c>
      <c r="D65" t="s">
        <v>28</v>
      </c>
      <c r="E65" s="1">
        <v>73.644999999999996</v>
      </c>
      <c r="F65" s="2">
        <v>4553.25</v>
      </c>
      <c r="G65" s="7"/>
      <c r="H65" s="7"/>
      <c r="I65" s="7"/>
      <c r="J65" s="7"/>
      <c r="K65" s="3">
        <f t="shared" si="0"/>
        <v>4553.25</v>
      </c>
      <c r="L65" s="1"/>
      <c r="M65" s="7"/>
    </row>
    <row r="66" spans="1:13" x14ac:dyDescent="0.35">
      <c r="A66" t="s">
        <v>77</v>
      </c>
      <c r="B66" t="s">
        <v>14</v>
      </c>
      <c r="C66" t="s">
        <v>24</v>
      </c>
      <c r="D66" t="s">
        <v>25</v>
      </c>
      <c r="E66" s="1">
        <v>85.912499999999994</v>
      </c>
      <c r="F66" s="2">
        <v>4154</v>
      </c>
      <c r="G66" s="7"/>
      <c r="H66" s="7"/>
      <c r="I66" s="7"/>
      <c r="J66" s="7"/>
      <c r="K66" s="3">
        <f t="shared" si="0"/>
        <v>4154</v>
      </c>
      <c r="L66" s="1"/>
      <c r="M66" s="7"/>
    </row>
    <row r="67" spans="1:13" x14ac:dyDescent="0.35">
      <c r="A67" t="s">
        <v>78</v>
      </c>
      <c r="B67" t="s">
        <v>14</v>
      </c>
      <c r="C67" t="s">
        <v>24</v>
      </c>
      <c r="D67" t="s">
        <v>25</v>
      </c>
      <c r="E67" s="1">
        <v>85.912499999999994</v>
      </c>
      <c r="F67" s="2">
        <v>4309.75</v>
      </c>
      <c r="G67" s="7"/>
      <c r="H67" s="7"/>
      <c r="I67" s="7"/>
      <c r="J67" s="7"/>
      <c r="K67" s="3">
        <f t="shared" si="0"/>
        <v>4309.75</v>
      </c>
      <c r="L67" s="1"/>
      <c r="M67" s="7"/>
    </row>
    <row r="68" spans="1:13" x14ac:dyDescent="0.35">
      <c r="A68" t="s">
        <v>79</v>
      </c>
      <c r="B68" t="s">
        <v>14</v>
      </c>
      <c r="C68" t="s">
        <v>24</v>
      </c>
      <c r="D68" t="s">
        <v>25</v>
      </c>
      <c r="E68" s="1">
        <v>85.912499999999994</v>
      </c>
      <c r="F68" s="2">
        <v>4467.75</v>
      </c>
      <c r="G68" s="7"/>
      <c r="H68" s="7"/>
      <c r="I68" s="7"/>
      <c r="J68" s="7"/>
      <c r="K68" s="3">
        <f t="shared" si="0"/>
        <v>4467.75</v>
      </c>
      <c r="L68" s="1"/>
      <c r="M68" s="7"/>
    </row>
    <row r="69" spans="1:13" x14ac:dyDescent="0.35">
      <c r="A69" t="s">
        <v>80</v>
      </c>
      <c r="B69" t="s">
        <v>81</v>
      </c>
      <c r="C69" t="s">
        <v>15</v>
      </c>
      <c r="D69" t="s">
        <v>16</v>
      </c>
      <c r="E69" s="1">
        <v>217.1575</v>
      </c>
      <c r="F69" s="2">
        <v>3935.5</v>
      </c>
      <c r="G69" s="7"/>
      <c r="H69" s="7"/>
      <c r="I69" s="7"/>
      <c r="J69" s="7"/>
      <c r="K69" s="3">
        <f t="shared" ref="K69:K132" si="1">F69</f>
        <v>3935.5</v>
      </c>
      <c r="L69" s="1"/>
      <c r="M69" s="7"/>
    </row>
    <row r="70" spans="1:13" x14ac:dyDescent="0.35">
      <c r="A70" t="s">
        <v>82</v>
      </c>
      <c r="B70" t="s">
        <v>81</v>
      </c>
      <c r="C70" t="s">
        <v>18</v>
      </c>
      <c r="D70" t="s">
        <v>19</v>
      </c>
      <c r="E70" s="1">
        <v>3.0074999999999998</v>
      </c>
      <c r="F70" s="2">
        <v>4949</v>
      </c>
      <c r="G70" s="7"/>
      <c r="H70" s="7"/>
      <c r="I70" s="7"/>
      <c r="J70" s="7"/>
      <c r="K70" s="3">
        <f t="shared" si="1"/>
        <v>4949</v>
      </c>
      <c r="L70" s="1"/>
      <c r="M70" s="7"/>
    </row>
    <row r="71" spans="1:13" x14ac:dyDescent="0.35">
      <c r="A71" t="s">
        <v>83</v>
      </c>
      <c r="B71" t="s">
        <v>84</v>
      </c>
      <c r="C71" t="s">
        <v>18</v>
      </c>
      <c r="D71" t="s">
        <v>19</v>
      </c>
      <c r="E71" s="1">
        <v>3.0074999999999998</v>
      </c>
      <c r="F71" s="2">
        <v>4394.25</v>
      </c>
      <c r="G71" s="7"/>
      <c r="H71" s="7"/>
      <c r="I71" s="7"/>
      <c r="J71" s="7"/>
      <c r="K71" s="3">
        <f t="shared" si="1"/>
        <v>4394.25</v>
      </c>
      <c r="L71" s="1"/>
      <c r="M71" s="7"/>
    </row>
    <row r="72" spans="1:13" x14ac:dyDescent="0.35">
      <c r="A72" t="s">
        <v>85</v>
      </c>
      <c r="B72" t="s">
        <v>86</v>
      </c>
      <c r="C72" t="s">
        <v>52</v>
      </c>
      <c r="D72" t="s">
        <v>87</v>
      </c>
      <c r="E72" s="1">
        <v>0.85</v>
      </c>
      <c r="F72" s="2">
        <v>3811.75</v>
      </c>
      <c r="G72" s="7"/>
      <c r="H72" s="7"/>
      <c r="I72" s="7"/>
      <c r="J72" s="7"/>
      <c r="K72" s="3">
        <f t="shared" si="1"/>
        <v>3811.75</v>
      </c>
      <c r="L72" s="1"/>
      <c r="M72" s="7"/>
    </row>
    <row r="73" spans="1:13" x14ac:dyDescent="0.35">
      <c r="A73" t="s">
        <v>88</v>
      </c>
      <c r="B73" t="s">
        <v>86</v>
      </c>
      <c r="C73" t="s">
        <v>52</v>
      </c>
      <c r="D73" t="s">
        <v>87</v>
      </c>
      <c r="E73" s="1">
        <v>0.85</v>
      </c>
      <c r="F73" s="2">
        <v>4125.25</v>
      </c>
      <c r="G73" s="7"/>
      <c r="H73" s="7"/>
      <c r="I73" s="7"/>
      <c r="J73" s="7"/>
      <c r="K73" s="3">
        <f t="shared" si="1"/>
        <v>4125.25</v>
      </c>
      <c r="L73" s="1"/>
      <c r="M73" s="7"/>
    </row>
    <row r="74" spans="1:13" x14ac:dyDescent="0.35">
      <c r="A74" t="s">
        <v>83</v>
      </c>
      <c r="B74" t="s">
        <v>84</v>
      </c>
      <c r="C74" t="s">
        <v>18</v>
      </c>
      <c r="D74" t="s">
        <v>19</v>
      </c>
      <c r="E74" s="1">
        <v>3.47</v>
      </c>
      <c r="F74" s="2">
        <v>4326.75</v>
      </c>
      <c r="G74" s="7"/>
      <c r="H74" s="7"/>
      <c r="I74" s="7"/>
      <c r="J74" s="7"/>
      <c r="K74" s="3">
        <f t="shared" si="1"/>
        <v>4326.75</v>
      </c>
      <c r="L74" s="1"/>
      <c r="M74" s="7"/>
    </row>
    <row r="75" spans="1:13" x14ac:dyDescent="0.35">
      <c r="A75" t="s">
        <v>89</v>
      </c>
      <c r="B75" t="s">
        <v>90</v>
      </c>
      <c r="C75" t="s">
        <v>52</v>
      </c>
      <c r="D75" t="s">
        <v>91</v>
      </c>
      <c r="E75" s="1">
        <v>1.4275</v>
      </c>
      <c r="F75" s="2">
        <v>4072.25</v>
      </c>
      <c r="G75" s="7"/>
      <c r="H75" s="7"/>
      <c r="I75" s="7"/>
      <c r="J75" s="7"/>
      <c r="K75" s="3">
        <f t="shared" si="1"/>
        <v>4072.25</v>
      </c>
      <c r="L75" s="1"/>
      <c r="M75" s="7"/>
    </row>
    <row r="76" spans="1:13" x14ac:dyDescent="0.35">
      <c r="A76" t="s">
        <v>92</v>
      </c>
      <c r="B76" t="s">
        <v>90</v>
      </c>
      <c r="C76" t="s">
        <v>52</v>
      </c>
      <c r="D76" t="s">
        <v>93</v>
      </c>
      <c r="E76" s="1">
        <v>7.93</v>
      </c>
      <c r="F76" s="2">
        <v>4452</v>
      </c>
      <c r="G76" s="7"/>
      <c r="H76" s="7"/>
      <c r="I76" s="7"/>
      <c r="J76" s="7"/>
      <c r="K76" s="3">
        <f t="shared" si="1"/>
        <v>4452</v>
      </c>
      <c r="L76" s="1"/>
      <c r="M76" s="7"/>
    </row>
    <row r="77" spans="1:13" x14ac:dyDescent="0.35">
      <c r="A77" t="s">
        <v>94</v>
      </c>
      <c r="B77" t="s">
        <v>90</v>
      </c>
      <c r="C77" t="s">
        <v>52</v>
      </c>
      <c r="D77" t="s">
        <v>93</v>
      </c>
      <c r="E77" s="1">
        <v>7.93</v>
      </c>
      <c r="F77" s="2">
        <v>4171</v>
      </c>
      <c r="G77" s="7"/>
      <c r="H77" s="7"/>
      <c r="I77" s="7"/>
      <c r="J77" s="7"/>
      <c r="K77" s="3">
        <f t="shared" si="1"/>
        <v>4171</v>
      </c>
      <c r="L77" s="1"/>
      <c r="M77" s="7"/>
    </row>
    <row r="78" spans="1:13" x14ac:dyDescent="0.35">
      <c r="A78" t="s">
        <v>95</v>
      </c>
      <c r="B78" t="s">
        <v>90</v>
      </c>
      <c r="C78" t="s">
        <v>52</v>
      </c>
      <c r="D78" t="s">
        <v>93</v>
      </c>
      <c r="E78" s="1">
        <v>7.93</v>
      </c>
      <c r="F78" s="2">
        <v>4753.75</v>
      </c>
      <c r="G78" s="7"/>
      <c r="H78" s="7"/>
      <c r="I78" s="7"/>
      <c r="J78" s="7"/>
      <c r="K78" s="3">
        <f t="shared" si="1"/>
        <v>4753.75</v>
      </c>
      <c r="L78" s="1"/>
      <c r="M78" s="7"/>
    </row>
    <row r="79" spans="1:13" x14ac:dyDescent="0.35">
      <c r="A79" t="s">
        <v>96</v>
      </c>
      <c r="B79" t="s">
        <v>90</v>
      </c>
      <c r="C79" t="s">
        <v>52</v>
      </c>
      <c r="D79" t="s">
        <v>93</v>
      </c>
      <c r="E79" s="1">
        <v>7.93</v>
      </c>
      <c r="F79" s="2">
        <v>3819.5</v>
      </c>
      <c r="G79" s="7"/>
      <c r="H79" s="7"/>
      <c r="I79" s="7"/>
      <c r="J79" s="7"/>
      <c r="K79" s="3">
        <f t="shared" si="1"/>
        <v>3819.5</v>
      </c>
      <c r="L79" s="1"/>
      <c r="M79" s="7"/>
    </row>
    <row r="80" spans="1:13" x14ac:dyDescent="0.35">
      <c r="A80" t="s">
        <v>97</v>
      </c>
      <c r="B80" t="s">
        <v>98</v>
      </c>
      <c r="C80" t="s">
        <v>15</v>
      </c>
      <c r="D80" t="s">
        <v>22</v>
      </c>
      <c r="E80" s="1">
        <v>155.96</v>
      </c>
      <c r="F80" s="2">
        <v>4528</v>
      </c>
      <c r="G80" s="7"/>
      <c r="H80" s="7"/>
      <c r="I80" s="7"/>
      <c r="J80" s="7"/>
      <c r="K80" s="3">
        <f t="shared" si="1"/>
        <v>4528</v>
      </c>
      <c r="L80" s="1"/>
      <c r="M80" s="7"/>
    </row>
    <row r="81" spans="1:13" x14ac:dyDescent="0.35">
      <c r="A81" t="s">
        <v>99</v>
      </c>
      <c r="B81" t="s">
        <v>98</v>
      </c>
      <c r="C81" t="s">
        <v>15</v>
      </c>
      <c r="D81" t="s">
        <v>22</v>
      </c>
      <c r="E81" s="1">
        <v>176.70249999999999</v>
      </c>
      <c r="F81" s="2">
        <v>3996.25</v>
      </c>
      <c r="G81" s="7"/>
      <c r="H81" s="7"/>
      <c r="I81" s="7"/>
      <c r="J81" s="7"/>
      <c r="K81" s="3">
        <f t="shared" si="1"/>
        <v>3996.25</v>
      </c>
      <c r="L81" s="1"/>
      <c r="M81" s="7"/>
    </row>
    <row r="82" spans="1:13" x14ac:dyDescent="0.35">
      <c r="A82" t="s">
        <v>100</v>
      </c>
      <c r="B82" t="s">
        <v>98</v>
      </c>
      <c r="C82" t="s">
        <v>15</v>
      </c>
      <c r="D82" t="s">
        <v>22</v>
      </c>
      <c r="E82" s="1">
        <v>176.70249999999999</v>
      </c>
      <c r="F82" s="2">
        <v>4064.25</v>
      </c>
      <c r="G82" s="7"/>
      <c r="H82" s="7"/>
      <c r="I82" s="7"/>
      <c r="J82" s="7"/>
      <c r="K82" s="3">
        <f t="shared" si="1"/>
        <v>4064.25</v>
      </c>
      <c r="L82" s="1"/>
      <c r="M82" s="7"/>
    </row>
    <row r="83" spans="1:13" x14ac:dyDescent="0.35">
      <c r="A83" t="s">
        <v>101</v>
      </c>
      <c r="B83" t="s">
        <v>98</v>
      </c>
      <c r="C83" t="s">
        <v>15</v>
      </c>
      <c r="D83" t="s">
        <v>22</v>
      </c>
      <c r="E83" s="1">
        <v>155.96</v>
      </c>
      <c r="F83" s="2">
        <v>4599.5</v>
      </c>
      <c r="G83" s="7"/>
      <c r="H83" s="7"/>
      <c r="I83" s="7"/>
      <c r="J83" s="7"/>
      <c r="K83" s="3">
        <f t="shared" si="1"/>
        <v>4599.5</v>
      </c>
      <c r="L83" s="1"/>
      <c r="M83" s="7"/>
    </row>
    <row r="84" spans="1:13" x14ac:dyDescent="0.35">
      <c r="A84" t="s">
        <v>102</v>
      </c>
      <c r="B84" t="s">
        <v>98</v>
      </c>
      <c r="C84" t="s">
        <v>15</v>
      </c>
      <c r="D84" t="s">
        <v>22</v>
      </c>
      <c r="E84" s="1">
        <v>155.96</v>
      </c>
      <c r="F84" s="2">
        <v>4392.25</v>
      </c>
      <c r="G84" s="7"/>
      <c r="H84" s="7"/>
      <c r="I84" s="7"/>
      <c r="J84" s="7"/>
      <c r="K84" s="3">
        <f t="shared" si="1"/>
        <v>4392.25</v>
      </c>
      <c r="L84" s="1"/>
      <c r="M84" s="7"/>
    </row>
    <row r="85" spans="1:13" x14ac:dyDescent="0.35">
      <c r="A85" t="s">
        <v>103</v>
      </c>
      <c r="B85" t="s">
        <v>81</v>
      </c>
      <c r="C85" t="s">
        <v>24</v>
      </c>
      <c r="D85" t="s">
        <v>25</v>
      </c>
      <c r="E85" s="1">
        <v>542.82249999999999</v>
      </c>
      <c r="F85" s="2">
        <v>3811.25</v>
      </c>
      <c r="G85" s="7"/>
      <c r="H85" s="7"/>
      <c r="I85" s="7"/>
      <c r="J85" s="7"/>
      <c r="K85" s="3">
        <f t="shared" si="1"/>
        <v>3811.25</v>
      </c>
      <c r="L85" s="1"/>
      <c r="M85" s="7"/>
    </row>
    <row r="86" spans="1:13" x14ac:dyDescent="0.35">
      <c r="A86" t="s">
        <v>104</v>
      </c>
      <c r="B86" t="s">
        <v>81</v>
      </c>
      <c r="C86" t="s">
        <v>24</v>
      </c>
      <c r="D86" t="s">
        <v>25</v>
      </c>
      <c r="E86" s="1">
        <v>542.82249999999999</v>
      </c>
      <c r="F86" s="2">
        <v>4471</v>
      </c>
      <c r="G86" s="7"/>
      <c r="H86" s="7"/>
      <c r="I86" s="7"/>
      <c r="J86" s="7"/>
      <c r="K86" s="3">
        <f t="shared" si="1"/>
        <v>4471</v>
      </c>
      <c r="L86" s="1"/>
      <c r="M86" s="7"/>
    </row>
    <row r="87" spans="1:13" x14ac:dyDescent="0.35">
      <c r="A87" t="s">
        <v>105</v>
      </c>
      <c r="B87" t="s">
        <v>81</v>
      </c>
      <c r="C87" t="s">
        <v>24</v>
      </c>
      <c r="D87" t="s">
        <v>25</v>
      </c>
      <c r="E87" s="1">
        <v>542.82249999999999</v>
      </c>
      <c r="F87" s="2">
        <v>4793.75</v>
      </c>
      <c r="G87" s="7"/>
      <c r="H87" s="7"/>
      <c r="I87" s="7"/>
      <c r="J87" s="7"/>
      <c r="K87" s="3">
        <f t="shared" si="1"/>
        <v>4793.75</v>
      </c>
      <c r="L87" s="1"/>
      <c r="M87" s="7"/>
    </row>
    <row r="88" spans="1:13" x14ac:dyDescent="0.35">
      <c r="A88" t="s">
        <v>106</v>
      </c>
      <c r="B88" t="s">
        <v>98</v>
      </c>
      <c r="C88" t="s">
        <v>24</v>
      </c>
      <c r="D88" t="s">
        <v>28</v>
      </c>
      <c r="E88" s="1">
        <v>478.03750000000002</v>
      </c>
      <c r="F88" s="2">
        <v>3850.25</v>
      </c>
      <c r="G88" s="7"/>
      <c r="H88" s="7"/>
      <c r="I88" s="7"/>
      <c r="J88" s="7"/>
      <c r="K88" s="3">
        <f t="shared" si="1"/>
        <v>3850.25</v>
      </c>
      <c r="L88" s="1"/>
      <c r="M88" s="7"/>
    </row>
    <row r="89" spans="1:13" x14ac:dyDescent="0.35">
      <c r="A89" t="s">
        <v>107</v>
      </c>
      <c r="B89" t="s">
        <v>98</v>
      </c>
      <c r="C89" t="s">
        <v>24</v>
      </c>
      <c r="D89" t="s">
        <v>28</v>
      </c>
      <c r="E89" s="1">
        <v>478.03750000000002</v>
      </c>
      <c r="F89" s="2">
        <v>4690.75</v>
      </c>
      <c r="G89" s="7"/>
      <c r="H89" s="7"/>
      <c r="I89" s="7"/>
      <c r="J89" s="7"/>
      <c r="K89" s="3">
        <f t="shared" si="1"/>
        <v>4690.75</v>
      </c>
      <c r="L89" s="1"/>
      <c r="M89" s="7"/>
    </row>
    <row r="90" spans="1:13" x14ac:dyDescent="0.35">
      <c r="A90" t="s">
        <v>108</v>
      </c>
      <c r="B90" t="s">
        <v>98</v>
      </c>
      <c r="C90" t="s">
        <v>24</v>
      </c>
      <c r="D90" t="s">
        <v>28</v>
      </c>
      <c r="E90" s="1">
        <v>478.03750000000002</v>
      </c>
      <c r="F90" s="2">
        <v>4288.5</v>
      </c>
      <c r="G90" s="7"/>
      <c r="H90" s="7"/>
      <c r="I90" s="7"/>
      <c r="J90" s="7"/>
      <c r="K90" s="3">
        <f t="shared" si="1"/>
        <v>4288.5</v>
      </c>
      <c r="L90" s="1"/>
      <c r="M90" s="7"/>
    </row>
    <row r="91" spans="1:13" x14ac:dyDescent="0.35">
      <c r="A91" t="s">
        <v>109</v>
      </c>
      <c r="B91" t="s">
        <v>81</v>
      </c>
      <c r="C91" t="s">
        <v>24</v>
      </c>
      <c r="D91" t="s">
        <v>25</v>
      </c>
      <c r="E91" s="1">
        <v>379.69749999999999</v>
      </c>
      <c r="F91" s="2">
        <v>4256.75</v>
      </c>
      <c r="G91" s="7"/>
      <c r="H91" s="7"/>
      <c r="I91" s="7"/>
      <c r="J91" s="7"/>
      <c r="K91" s="3">
        <f t="shared" si="1"/>
        <v>4256.75</v>
      </c>
      <c r="L91" s="1"/>
      <c r="M91" s="7"/>
    </row>
    <row r="92" spans="1:13" x14ac:dyDescent="0.35">
      <c r="A92" t="s">
        <v>110</v>
      </c>
      <c r="B92" t="s">
        <v>81</v>
      </c>
      <c r="C92" t="s">
        <v>24</v>
      </c>
      <c r="D92" t="s">
        <v>25</v>
      </c>
      <c r="E92" s="1">
        <v>379.69749999999999</v>
      </c>
      <c r="F92" s="2">
        <v>3995</v>
      </c>
      <c r="G92" s="7"/>
      <c r="H92" s="7"/>
      <c r="I92" s="7"/>
      <c r="J92" s="7"/>
      <c r="K92" s="3">
        <f t="shared" si="1"/>
        <v>3995</v>
      </c>
      <c r="L92" s="1"/>
      <c r="M92" s="7"/>
    </row>
    <row r="93" spans="1:13" x14ac:dyDescent="0.35">
      <c r="A93" t="s">
        <v>111</v>
      </c>
      <c r="B93" t="s">
        <v>81</v>
      </c>
      <c r="C93" t="s">
        <v>24</v>
      </c>
      <c r="D93" t="s">
        <v>25</v>
      </c>
      <c r="E93" s="1">
        <v>379.69749999999999</v>
      </c>
      <c r="F93" s="2">
        <v>4632.5</v>
      </c>
      <c r="G93" s="7"/>
      <c r="H93" s="7"/>
      <c r="I93" s="7"/>
      <c r="J93" s="7"/>
      <c r="K93" s="3">
        <f t="shared" si="1"/>
        <v>4632.5</v>
      </c>
      <c r="L93" s="1"/>
      <c r="M93" s="7"/>
    </row>
    <row r="94" spans="1:13" x14ac:dyDescent="0.35">
      <c r="A94" t="s">
        <v>112</v>
      </c>
      <c r="B94" t="s">
        <v>113</v>
      </c>
      <c r="C94" t="s">
        <v>24</v>
      </c>
      <c r="D94" t="s">
        <v>25</v>
      </c>
      <c r="E94" s="1">
        <v>151.41249999999999</v>
      </c>
      <c r="F94" s="2">
        <v>4917.5</v>
      </c>
      <c r="G94" s="7"/>
      <c r="H94" s="7"/>
      <c r="I94" s="7"/>
      <c r="J94" s="7"/>
      <c r="K94" s="3">
        <f t="shared" si="1"/>
        <v>4917.5</v>
      </c>
      <c r="L94" s="1"/>
      <c r="M94" s="7"/>
    </row>
    <row r="95" spans="1:13" x14ac:dyDescent="0.35">
      <c r="A95" t="s">
        <v>114</v>
      </c>
      <c r="B95" t="s">
        <v>113</v>
      </c>
      <c r="C95" t="s">
        <v>24</v>
      </c>
      <c r="D95" t="s">
        <v>25</v>
      </c>
      <c r="E95" s="1">
        <v>178.27</v>
      </c>
      <c r="F95" s="2">
        <v>4232.5</v>
      </c>
      <c r="G95" s="7"/>
      <c r="H95" s="7"/>
      <c r="I95" s="7"/>
      <c r="J95" s="7"/>
      <c r="K95" s="3">
        <f t="shared" si="1"/>
        <v>4232.5</v>
      </c>
      <c r="L95" s="1"/>
      <c r="M95" s="7"/>
    </row>
    <row r="96" spans="1:13" x14ac:dyDescent="0.35">
      <c r="A96" t="s">
        <v>115</v>
      </c>
      <c r="B96" t="s">
        <v>113</v>
      </c>
      <c r="C96" t="s">
        <v>24</v>
      </c>
      <c r="D96" t="s">
        <v>25</v>
      </c>
      <c r="E96" s="1">
        <v>151.41249999999999</v>
      </c>
      <c r="F96" s="2">
        <v>3892</v>
      </c>
      <c r="G96" s="7"/>
      <c r="H96" s="7"/>
      <c r="I96" s="7"/>
      <c r="J96" s="7"/>
      <c r="K96" s="3">
        <f t="shared" si="1"/>
        <v>3892</v>
      </c>
      <c r="L96" s="1"/>
      <c r="M96" s="7"/>
    </row>
    <row r="97" spans="1:13" x14ac:dyDescent="0.35">
      <c r="A97" t="s">
        <v>116</v>
      </c>
      <c r="B97" t="s">
        <v>117</v>
      </c>
      <c r="C97" t="s">
        <v>15</v>
      </c>
      <c r="D97" t="s">
        <v>118</v>
      </c>
      <c r="E97" s="1">
        <v>16.452500000000001</v>
      </c>
      <c r="F97" s="2">
        <v>3840</v>
      </c>
      <c r="G97" s="7"/>
      <c r="H97" s="7"/>
      <c r="I97" s="7"/>
      <c r="J97" s="7"/>
      <c r="K97" s="3">
        <f t="shared" si="1"/>
        <v>3840</v>
      </c>
      <c r="L97" s="1"/>
      <c r="M97" s="7"/>
    </row>
    <row r="98" spans="1:13" x14ac:dyDescent="0.35">
      <c r="A98" t="s">
        <v>119</v>
      </c>
      <c r="B98" t="s">
        <v>117</v>
      </c>
      <c r="C98" t="s">
        <v>15</v>
      </c>
      <c r="D98" t="s">
        <v>118</v>
      </c>
      <c r="E98" s="1">
        <v>19.48</v>
      </c>
      <c r="F98" s="2">
        <v>3881.75</v>
      </c>
      <c r="G98" s="7"/>
      <c r="H98" s="7"/>
      <c r="I98" s="7"/>
      <c r="J98" s="7"/>
      <c r="K98" s="3">
        <f t="shared" si="1"/>
        <v>3881.75</v>
      </c>
      <c r="L98" s="1"/>
      <c r="M98" s="7"/>
    </row>
    <row r="99" spans="1:13" x14ac:dyDescent="0.35">
      <c r="A99" t="s">
        <v>120</v>
      </c>
      <c r="B99" t="s">
        <v>117</v>
      </c>
      <c r="C99" t="s">
        <v>15</v>
      </c>
      <c r="D99" t="s">
        <v>118</v>
      </c>
      <c r="E99" s="1">
        <v>25.4725</v>
      </c>
      <c r="F99" s="2">
        <v>4603.75</v>
      </c>
      <c r="G99" s="7"/>
      <c r="H99" s="7"/>
      <c r="I99" s="7"/>
      <c r="J99" s="7"/>
      <c r="K99" s="3">
        <f t="shared" si="1"/>
        <v>4603.75</v>
      </c>
      <c r="L99" s="1"/>
      <c r="M99" s="7"/>
    </row>
    <row r="100" spans="1:13" x14ac:dyDescent="0.35">
      <c r="A100" t="s">
        <v>121</v>
      </c>
      <c r="B100" t="s">
        <v>117</v>
      </c>
      <c r="C100" t="s">
        <v>15</v>
      </c>
      <c r="D100" t="s">
        <v>122</v>
      </c>
      <c r="E100" s="1">
        <v>3.7949999999999999</v>
      </c>
      <c r="F100" s="2">
        <v>3969.75</v>
      </c>
      <c r="G100" s="7"/>
      <c r="H100" s="7"/>
      <c r="I100" s="7"/>
      <c r="J100" s="7"/>
      <c r="K100" s="3">
        <f t="shared" si="1"/>
        <v>3969.75</v>
      </c>
      <c r="L100" s="1"/>
      <c r="M100" s="7"/>
    </row>
    <row r="101" spans="1:13" x14ac:dyDescent="0.35">
      <c r="A101" t="s">
        <v>123</v>
      </c>
      <c r="B101" t="s">
        <v>117</v>
      </c>
      <c r="C101" t="s">
        <v>15</v>
      </c>
      <c r="D101" t="s">
        <v>122</v>
      </c>
      <c r="E101" s="1">
        <v>11.355</v>
      </c>
      <c r="F101" s="2">
        <v>4169.5</v>
      </c>
      <c r="G101" s="7"/>
      <c r="H101" s="7"/>
      <c r="I101" s="7"/>
      <c r="J101" s="7"/>
      <c r="K101" s="3">
        <f t="shared" si="1"/>
        <v>4169.5</v>
      </c>
      <c r="L101" s="1"/>
      <c r="M101" s="7"/>
    </row>
    <row r="102" spans="1:13" x14ac:dyDescent="0.35">
      <c r="A102" t="s">
        <v>124</v>
      </c>
      <c r="B102" t="s">
        <v>117</v>
      </c>
      <c r="C102" t="s">
        <v>15</v>
      </c>
      <c r="D102" t="s">
        <v>122</v>
      </c>
      <c r="E102" s="1">
        <v>13.845000000000001</v>
      </c>
      <c r="F102" s="2">
        <v>4679.5</v>
      </c>
      <c r="G102" s="7"/>
      <c r="H102" s="7"/>
      <c r="I102" s="7"/>
      <c r="J102" s="7"/>
      <c r="K102" s="3">
        <f t="shared" si="1"/>
        <v>4679.5</v>
      </c>
      <c r="L102" s="1"/>
      <c r="M102" s="7"/>
    </row>
    <row r="103" spans="1:13" x14ac:dyDescent="0.35">
      <c r="A103" t="s">
        <v>125</v>
      </c>
      <c r="B103" t="s">
        <v>117</v>
      </c>
      <c r="C103" t="s">
        <v>15</v>
      </c>
      <c r="D103" t="s">
        <v>126</v>
      </c>
      <c r="E103" s="1">
        <v>4.4950000000000001</v>
      </c>
      <c r="F103" s="2">
        <v>3920.75</v>
      </c>
      <c r="G103" s="7"/>
      <c r="H103" s="7"/>
      <c r="I103" s="7"/>
      <c r="J103" s="7"/>
      <c r="K103" s="3">
        <f t="shared" si="1"/>
        <v>3920.75</v>
      </c>
      <c r="L103" s="1"/>
      <c r="M103" s="7"/>
    </row>
    <row r="104" spans="1:13" x14ac:dyDescent="0.35">
      <c r="A104" t="s">
        <v>125</v>
      </c>
      <c r="B104" t="s">
        <v>117</v>
      </c>
      <c r="C104" t="s">
        <v>15</v>
      </c>
      <c r="D104" t="s">
        <v>126</v>
      </c>
      <c r="E104" s="1">
        <v>4.9450000000000003</v>
      </c>
      <c r="F104" s="2">
        <v>4634.25</v>
      </c>
      <c r="G104" s="7"/>
      <c r="H104" s="7"/>
      <c r="I104" s="7"/>
      <c r="J104" s="7"/>
      <c r="K104" s="3">
        <f t="shared" si="1"/>
        <v>4634.25</v>
      </c>
      <c r="L104" s="1"/>
      <c r="M104" s="7"/>
    </row>
    <row r="105" spans="1:13" x14ac:dyDescent="0.35">
      <c r="A105" t="s">
        <v>127</v>
      </c>
      <c r="B105" t="s">
        <v>117</v>
      </c>
      <c r="C105" t="s">
        <v>15</v>
      </c>
      <c r="D105" t="s">
        <v>126</v>
      </c>
      <c r="E105" s="1">
        <v>13.35</v>
      </c>
      <c r="F105" s="2">
        <v>4634.25</v>
      </c>
      <c r="G105" s="7"/>
      <c r="H105" s="7"/>
      <c r="I105" s="7"/>
      <c r="J105" s="7"/>
      <c r="K105" s="3">
        <f t="shared" si="1"/>
        <v>4634.25</v>
      </c>
      <c r="L105" s="1"/>
      <c r="M105" s="7"/>
    </row>
    <row r="106" spans="1:13" x14ac:dyDescent="0.35">
      <c r="A106" t="s">
        <v>128</v>
      </c>
      <c r="B106" t="s">
        <v>117</v>
      </c>
      <c r="C106" t="s">
        <v>15</v>
      </c>
      <c r="D106" t="s">
        <v>126</v>
      </c>
      <c r="E106" s="1">
        <v>4.4950000000000001</v>
      </c>
      <c r="F106" s="2">
        <v>4039</v>
      </c>
      <c r="G106" s="7"/>
      <c r="H106" s="7"/>
      <c r="I106" s="7"/>
      <c r="J106" s="7"/>
      <c r="K106" s="3">
        <f t="shared" si="1"/>
        <v>4039</v>
      </c>
      <c r="L106" s="1"/>
      <c r="M106" s="7"/>
    </row>
    <row r="107" spans="1:13" x14ac:dyDescent="0.35">
      <c r="A107" t="s">
        <v>128</v>
      </c>
      <c r="B107" t="s">
        <v>117</v>
      </c>
      <c r="C107" t="s">
        <v>15</v>
      </c>
      <c r="D107" t="s">
        <v>126</v>
      </c>
      <c r="E107" s="1">
        <v>4.9450000000000003</v>
      </c>
      <c r="F107" s="2">
        <v>4594.25</v>
      </c>
      <c r="G107" s="7"/>
      <c r="H107" s="7"/>
      <c r="I107" s="7"/>
      <c r="J107" s="7"/>
      <c r="K107" s="3">
        <f t="shared" si="1"/>
        <v>4594.25</v>
      </c>
      <c r="L107" s="1"/>
      <c r="M107" s="7"/>
    </row>
    <row r="108" spans="1:13" x14ac:dyDescent="0.35">
      <c r="A108" t="s">
        <v>129</v>
      </c>
      <c r="B108" t="s">
        <v>113</v>
      </c>
      <c r="C108" t="s">
        <v>15</v>
      </c>
      <c r="D108" t="s">
        <v>16</v>
      </c>
      <c r="E108" s="1">
        <v>75.03</v>
      </c>
      <c r="F108" s="2">
        <v>4053.25</v>
      </c>
      <c r="G108" s="7"/>
      <c r="H108" s="7"/>
      <c r="I108" s="7"/>
      <c r="J108" s="7"/>
      <c r="K108" s="3">
        <f t="shared" si="1"/>
        <v>4053.25</v>
      </c>
      <c r="L108" s="1"/>
      <c r="M108" s="7"/>
    </row>
    <row r="109" spans="1:13" x14ac:dyDescent="0.35">
      <c r="A109" t="s">
        <v>130</v>
      </c>
      <c r="B109" t="s">
        <v>113</v>
      </c>
      <c r="C109" t="s">
        <v>15</v>
      </c>
      <c r="D109" t="s">
        <v>16</v>
      </c>
      <c r="E109" s="1">
        <v>75.03</v>
      </c>
      <c r="F109" s="2">
        <v>3962</v>
      </c>
      <c r="G109" s="7"/>
      <c r="H109" s="7"/>
      <c r="I109" s="7"/>
      <c r="J109" s="7"/>
      <c r="K109" s="3">
        <f t="shared" si="1"/>
        <v>3962</v>
      </c>
      <c r="L109" s="1"/>
      <c r="M109" s="7"/>
    </row>
    <row r="110" spans="1:13" x14ac:dyDescent="0.35">
      <c r="A110" t="s">
        <v>131</v>
      </c>
      <c r="B110" t="s">
        <v>132</v>
      </c>
      <c r="C110" t="s">
        <v>18</v>
      </c>
      <c r="D110" t="s">
        <v>133</v>
      </c>
      <c r="E110" s="1">
        <v>12.89</v>
      </c>
      <c r="F110" s="2">
        <v>4528.5</v>
      </c>
      <c r="G110" s="7"/>
      <c r="H110" s="7"/>
      <c r="I110" s="7"/>
      <c r="J110" s="7"/>
      <c r="K110" s="3">
        <f t="shared" si="1"/>
        <v>4528.5</v>
      </c>
      <c r="L110" s="1"/>
      <c r="M110" s="7"/>
    </row>
    <row r="111" spans="1:13" x14ac:dyDescent="0.35">
      <c r="A111" t="s">
        <v>134</v>
      </c>
      <c r="B111" t="s">
        <v>117</v>
      </c>
      <c r="C111" t="s">
        <v>18</v>
      </c>
      <c r="D111" t="s">
        <v>135</v>
      </c>
      <c r="E111" s="1">
        <v>2.5775000000000001</v>
      </c>
      <c r="F111" s="2">
        <v>4688.75</v>
      </c>
      <c r="G111" s="7"/>
      <c r="H111" s="7"/>
      <c r="I111" s="7"/>
      <c r="J111" s="7"/>
      <c r="K111" s="3">
        <f t="shared" si="1"/>
        <v>4688.75</v>
      </c>
      <c r="L111" s="1"/>
      <c r="M111" s="7"/>
    </row>
    <row r="112" spans="1:13" x14ac:dyDescent="0.35">
      <c r="A112" t="s">
        <v>136</v>
      </c>
      <c r="B112" t="s">
        <v>117</v>
      </c>
      <c r="C112" t="s">
        <v>18</v>
      </c>
      <c r="D112" t="s">
        <v>137</v>
      </c>
      <c r="E112" s="1">
        <v>2.0625</v>
      </c>
      <c r="F112" s="2">
        <v>4327.25</v>
      </c>
      <c r="G112" s="7"/>
      <c r="H112" s="7"/>
      <c r="I112" s="7"/>
      <c r="J112" s="7"/>
      <c r="K112" s="3">
        <f t="shared" si="1"/>
        <v>4327.25</v>
      </c>
      <c r="L112" s="1"/>
      <c r="M112" s="7"/>
    </row>
    <row r="113" spans="1:13" x14ac:dyDescent="0.35">
      <c r="A113" t="s">
        <v>138</v>
      </c>
      <c r="B113" t="s">
        <v>117</v>
      </c>
      <c r="C113" t="s">
        <v>18</v>
      </c>
      <c r="D113" t="s">
        <v>137</v>
      </c>
      <c r="E113" s="1">
        <v>2.5775000000000001</v>
      </c>
      <c r="F113" s="2">
        <v>3832</v>
      </c>
      <c r="G113" s="7"/>
      <c r="H113" s="7"/>
      <c r="I113" s="7"/>
      <c r="J113" s="7"/>
      <c r="K113" s="3">
        <f t="shared" si="1"/>
        <v>3832</v>
      </c>
      <c r="L113" s="1"/>
      <c r="M113" s="7"/>
    </row>
    <row r="114" spans="1:13" x14ac:dyDescent="0.35">
      <c r="A114" t="s">
        <v>139</v>
      </c>
      <c r="B114" t="s">
        <v>117</v>
      </c>
      <c r="C114" t="s">
        <v>18</v>
      </c>
      <c r="D114" t="s">
        <v>140</v>
      </c>
      <c r="E114" s="1">
        <v>1.4424999999999999</v>
      </c>
      <c r="F114" s="2">
        <v>4076.25</v>
      </c>
      <c r="G114" s="7"/>
      <c r="H114" s="7"/>
      <c r="I114" s="7"/>
      <c r="J114" s="7"/>
      <c r="K114" s="3">
        <f t="shared" si="1"/>
        <v>4076.25</v>
      </c>
      <c r="L114" s="1"/>
      <c r="M114" s="7"/>
    </row>
    <row r="115" spans="1:13" x14ac:dyDescent="0.35">
      <c r="A115" t="s">
        <v>141</v>
      </c>
      <c r="B115" t="s">
        <v>117</v>
      </c>
      <c r="C115" t="s">
        <v>18</v>
      </c>
      <c r="D115" t="s">
        <v>140</v>
      </c>
      <c r="E115" s="1">
        <v>3.6074999999999999</v>
      </c>
      <c r="F115" s="2">
        <v>3838</v>
      </c>
      <c r="G115" s="7"/>
      <c r="H115" s="7"/>
      <c r="I115" s="7"/>
      <c r="J115" s="7"/>
      <c r="K115" s="3">
        <f t="shared" si="1"/>
        <v>3838</v>
      </c>
      <c r="L115" s="1"/>
      <c r="M115" s="7"/>
    </row>
    <row r="116" spans="1:13" x14ac:dyDescent="0.35">
      <c r="A116" t="s">
        <v>142</v>
      </c>
      <c r="B116" t="s">
        <v>117</v>
      </c>
      <c r="C116" t="s">
        <v>18</v>
      </c>
      <c r="D116" t="s">
        <v>140</v>
      </c>
      <c r="E116" s="1">
        <v>4.6399999999999997</v>
      </c>
      <c r="F116" s="2">
        <v>4785</v>
      </c>
      <c r="G116" s="7"/>
      <c r="H116" s="7"/>
      <c r="I116" s="7"/>
      <c r="J116" s="7"/>
      <c r="K116" s="3">
        <f t="shared" si="1"/>
        <v>4785</v>
      </c>
      <c r="L116" s="1"/>
      <c r="M116" s="7"/>
    </row>
    <row r="117" spans="1:13" x14ac:dyDescent="0.35">
      <c r="A117" t="s">
        <v>143</v>
      </c>
      <c r="B117" t="s">
        <v>90</v>
      </c>
      <c r="C117" t="s">
        <v>52</v>
      </c>
      <c r="D117" t="s">
        <v>144</v>
      </c>
      <c r="E117" s="1">
        <v>9.2799999999999994</v>
      </c>
      <c r="F117" s="2">
        <v>4902</v>
      </c>
      <c r="G117" s="7"/>
      <c r="H117" s="7"/>
      <c r="I117" s="7"/>
      <c r="J117" s="7"/>
      <c r="K117" s="3">
        <f t="shared" si="1"/>
        <v>4902</v>
      </c>
      <c r="L117" s="1"/>
      <c r="M117" s="7"/>
    </row>
    <row r="118" spans="1:13" x14ac:dyDescent="0.35">
      <c r="A118" t="s">
        <v>145</v>
      </c>
      <c r="B118" t="s">
        <v>90</v>
      </c>
      <c r="C118" t="s">
        <v>52</v>
      </c>
      <c r="D118" t="s">
        <v>144</v>
      </c>
      <c r="E118" s="1">
        <v>9.2799999999999994</v>
      </c>
      <c r="F118" s="2">
        <v>4316.5</v>
      </c>
      <c r="G118" s="7"/>
      <c r="H118" s="7"/>
      <c r="I118" s="7"/>
      <c r="J118" s="7"/>
      <c r="K118" s="3">
        <f t="shared" si="1"/>
        <v>4316.5</v>
      </c>
      <c r="L118" s="1"/>
      <c r="M118" s="7"/>
    </row>
    <row r="119" spans="1:13" x14ac:dyDescent="0.35">
      <c r="A119" t="s">
        <v>146</v>
      </c>
      <c r="B119" t="s">
        <v>90</v>
      </c>
      <c r="C119" t="s">
        <v>52</v>
      </c>
      <c r="D119" t="s">
        <v>144</v>
      </c>
      <c r="E119" s="1">
        <v>9.2799999999999994</v>
      </c>
      <c r="F119" s="2">
        <v>4661.75</v>
      </c>
      <c r="G119" s="7"/>
      <c r="H119" s="7"/>
      <c r="I119" s="7"/>
      <c r="J119" s="7"/>
      <c r="K119" s="3">
        <f t="shared" si="1"/>
        <v>4661.75</v>
      </c>
      <c r="L119" s="1"/>
      <c r="M119" s="7"/>
    </row>
    <row r="120" spans="1:13" x14ac:dyDescent="0.35">
      <c r="A120" t="s">
        <v>147</v>
      </c>
      <c r="B120" t="s">
        <v>84</v>
      </c>
      <c r="C120" t="s">
        <v>52</v>
      </c>
      <c r="D120" t="s">
        <v>148</v>
      </c>
      <c r="E120" s="1">
        <v>5.9375</v>
      </c>
      <c r="F120" s="2">
        <v>3794.25</v>
      </c>
      <c r="G120" s="7"/>
      <c r="H120" s="7"/>
      <c r="I120" s="7"/>
      <c r="J120" s="7"/>
      <c r="K120" s="3">
        <f t="shared" si="1"/>
        <v>3794.25</v>
      </c>
      <c r="L120" s="1"/>
      <c r="M120" s="7"/>
    </row>
    <row r="121" spans="1:13" x14ac:dyDescent="0.35">
      <c r="A121" t="s">
        <v>149</v>
      </c>
      <c r="B121" t="s">
        <v>84</v>
      </c>
      <c r="C121" t="s">
        <v>52</v>
      </c>
      <c r="D121" t="s">
        <v>148</v>
      </c>
      <c r="E121" s="1">
        <v>5.9375</v>
      </c>
      <c r="F121" s="2">
        <v>4813</v>
      </c>
      <c r="G121" s="7"/>
      <c r="H121" s="7"/>
      <c r="I121" s="7"/>
      <c r="J121" s="7"/>
      <c r="K121" s="3">
        <f t="shared" si="1"/>
        <v>4813</v>
      </c>
      <c r="L121" s="1"/>
      <c r="M121" s="7"/>
    </row>
    <row r="122" spans="1:13" x14ac:dyDescent="0.35">
      <c r="A122" t="s">
        <v>150</v>
      </c>
      <c r="B122" t="s">
        <v>84</v>
      </c>
      <c r="C122" t="s">
        <v>52</v>
      </c>
      <c r="D122" t="s">
        <v>148</v>
      </c>
      <c r="E122" s="1">
        <v>5.9375</v>
      </c>
      <c r="F122" s="2">
        <v>4655.75</v>
      </c>
      <c r="G122" s="7"/>
      <c r="H122" s="7"/>
      <c r="I122" s="7"/>
      <c r="J122" s="7"/>
      <c r="K122" s="3">
        <f t="shared" si="1"/>
        <v>4655.75</v>
      </c>
      <c r="L122" s="1"/>
      <c r="M122" s="7"/>
    </row>
    <row r="123" spans="1:13" x14ac:dyDescent="0.35">
      <c r="A123" t="s">
        <v>151</v>
      </c>
      <c r="B123" t="s">
        <v>117</v>
      </c>
      <c r="C123" t="s">
        <v>18</v>
      </c>
      <c r="D123" t="s">
        <v>152</v>
      </c>
      <c r="E123" s="1">
        <v>0.46750000000000003</v>
      </c>
      <c r="F123" s="2">
        <v>3845.5</v>
      </c>
      <c r="G123" s="7"/>
      <c r="H123" s="7"/>
      <c r="I123" s="7"/>
      <c r="J123" s="7"/>
      <c r="K123" s="3">
        <f t="shared" si="1"/>
        <v>3845.5</v>
      </c>
      <c r="L123" s="1"/>
      <c r="M123" s="7"/>
    </row>
    <row r="124" spans="1:13" x14ac:dyDescent="0.35">
      <c r="A124" t="s">
        <v>153</v>
      </c>
      <c r="B124" t="s">
        <v>117</v>
      </c>
      <c r="C124" t="s">
        <v>18</v>
      </c>
      <c r="D124" t="s">
        <v>152</v>
      </c>
      <c r="E124" s="1">
        <v>0.93500000000000005</v>
      </c>
      <c r="F124" s="2">
        <v>4382.75</v>
      </c>
      <c r="G124" s="7"/>
      <c r="H124" s="7"/>
      <c r="I124" s="7"/>
      <c r="J124" s="7"/>
      <c r="K124" s="3">
        <f t="shared" si="1"/>
        <v>4382.75</v>
      </c>
      <c r="L124" s="1"/>
      <c r="M124" s="7"/>
    </row>
    <row r="125" spans="1:13" x14ac:dyDescent="0.35">
      <c r="A125" t="s">
        <v>154</v>
      </c>
      <c r="B125" t="s">
        <v>117</v>
      </c>
      <c r="C125" t="s">
        <v>18</v>
      </c>
      <c r="D125" t="s">
        <v>152</v>
      </c>
      <c r="E125" s="1">
        <v>0.84</v>
      </c>
      <c r="F125" s="2">
        <v>3761.25</v>
      </c>
      <c r="G125" s="7"/>
      <c r="H125" s="7"/>
      <c r="I125" s="7"/>
      <c r="J125" s="7"/>
      <c r="K125" s="3">
        <f t="shared" si="1"/>
        <v>3761.25</v>
      </c>
      <c r="L125" s="1"/>
      <c r="M125" s="7"/>
    </row>
    <row r="126" spans="1:13" x14ac:dyDescent="0.35">
      <c r="A126" t="s">
        <v>155</v>
      </c>
      <c r="B126" t="s">
        <v>117</v>
      </c>
      <c r="C126" t="s">
        <v>18</v>
      </c>
      <c r="D126" t="s">
        <v>156</v>
      </c>
      <c r="E126" s="1">
        <v>0.215</v>
      </c>
      <c r="F126" s="2">
        <v>3963</v>
      </c>
      <c r="G126" s="7"/>
      <c r="H126" s="7"/>
      <c r="I126" s="7"/>
      <c r="J126" s="7"/>
      <c r="K126" s="3">
        <f t="shared" si="1"/>
        <v>3963</v>
      </c>
      <c r="L126" s="1"/>
      <c r="M126" s="7"/>
    </row>
    <row r="127" spans="1:13" x14ac:dyDescent="0.35">
      <c r="A127" t="s">
        <v>157</v>
      </c>
      <c r="B127" t="s">
        <v>86</v>
      </c>
      <c r="C127" t="s">
        <v>52</v>
      </c>
      <c r="D127" t="s">
        <v>87</v>
      </c>
      <c r="E127" s="1">
        <v>0.84</v>
      </c>
      <c r="F127" s="2">
        <v>4890.25</v>
      </c>
      <c r="G127" s="7"/>
      <c r="H127" s="7"/>
      <c r="I127" s="7"/>
      <c r="J127" s="7"/>
      <c r="K127" s="3">
        <f t="shared" si="1"/>
        <v>4890.25</v>
      </c>
      <c r="L127" s="1"/>
      <c r="M127" s="7"/>
    </row>
    <row r="128" spans="1:13" x14ac:dyDescent="0.35">
      <c r="A128" t="s">
        <v>158</v>
      </c>
      <c r="B128" t="s">
        <v>86</v>
      </c>
      <c r="C128" t="s">
        <v>52</v>
      </c>
      <c r="D128" t="s">
        <v>87</v>
      </c>
      <c r="E128" s="1">
        <v>0.84</v>
      </c>
      <c r="F128" s="2">
        <v>4731.25</v>
      </c>
      <c r="G128" s="7"/>
      <c r="H128" s="7"/>
      <c r="I128" s="7"/>
      <c r="J128" s="7"/>
      <c r="K128" s="3">
        <f t="shared" si="1"/>
        <v>4731.25</v>
      </c>
      <c r="L128" s="1"/>
      <c r="M128" s="7"/>
    </row>
    <row r="129" spans="1:13" x14ac:dyDescent="0.35">
      <c r="A129" t="s">
        <v>159</v>
      </c>
      <c r="B129" t="s">
        <v>117</v>
      </c>
      <c r="C129" t="s">
        <v>18</v>
      </c>
      <c r="D129" t="s">
        <v>160</v>
      </c>
      <c r="E129" s="1">
        <v>11.22</v>
      </c>
      <c r="F129" s="2">
        <v>4993.25</v>
      </c>
      <c r="G129" s="7"/>
      <c r="H129" s="7"/>
      <c r="I129" s="7"/>
      <c r="J129" s="7"/>
      <c r="K129" s="3">
        <f t="shared" si="1"/>
        <v>4993.25</v>
      </c>
      <c r="L129" s="1"/>
      <c r="M129" s="7"/>
    </row>
    <row r="130" spans="1:13" x14ac:dyDescent="0.35">
      <c r="A130" t="s">
        <v>161</v>
      </c>
      <c r="B130" t="s">
        <v>117</v>
      </c>
      <c r="C130" t="s">
        <v>18</v>
      </c>
      <c r="D130" t="s">
        <v>162</v>
      </c>
      <c r="E130" s="1">
        <v>0.74250000000000005</v>
      </c>
      <c r="F130" s="2">
        <v>4539.75</v>
      </c>
      <c r="G130" s="7"/>
      <c r="H130" s="7"/>
      <c r="I130" s="7"/>
      <c r="J130" s="7"/>
      <c r="K130" s="3">
        <f t="shared" si="1"/>
        <v>4539.75</v>
      </c>
      <c r="L130" s="1"/>
      <c r="M130" s="7"/>
    </row>
    <row r="131" spans="1:13" x14ac:dyDescent="0.35">
      <c r="A131" t="s">
        <v>163</v>
      </c>
      <c r="B131" t="s">
        <v>117</v>
      </c>
      <c r="C131" t="s">
        <v>18</v>
      </c>
      <c r="D131" t="s">
        <v>164</v>
      </c>
      <c r="E131" s="1">
        <v>2.0550000000000002</v>
      </c>
      <c r="F131" s="2">
        <v>3829</v>
      </c>
      <c r="G131" s="7"/>
      <c r="H131" s="7"/>
      <c r="I131" s="7"/>
      <c r="J131" s="7"/>
      <c r="K131" s="3">
        <f t="shared" si="1"/>
        <v>3829</v>
      </c>
      <c r="L131" s="1"/>
      <c r="M131" s="7"/>
    </row>
    <row r="132" spans="1:13" x14ac:dyDescent="0.35">
      <c r="A132" t="s">
        <v>165</v>
      </c>
      <c r="B132" t="s">
        <v>117</v>
      </c>
      <c r="C132" t="s">
        <v>18</v>
      </c>
      <c r="D132" t="s">
        <v>166</v>
      </c>
      <c r="E132" s="1">
        <v>14.8675</v>
      </c>
      <c r="F132" s="2">
        <v>4127.75</v>
      </c>
      <c r="G132" s="7"/>
      <c r="H132" s="7"/>
      <c r="I132" s="7"/>
      <c r="J132" s="7"/>
      <c r="K132" s="3">
        <f t="shared" si="1"/>
        <v>4127.75</v>
      </c>
      <c r="L132" s="1"/>
      <c r="M132" s="7"/>
    </row>
    <row r="133" spans="1:13" x14ac:dyDescent="0.35">
      <c r="A133" t="s">
        <v>167</v>
      </c>
      <c r="B133" t="s">
        <v>98</v>
      </c>
      <c r="C133" t="s">
        <v>18</v>
      </c>
      <c r="D133" t="s">
        <v>168</v>
      </c>
      <c r="E133" s="1">
        <v>5.1425000000000001</v>
      </c>
      <c r="F133" s="2">
        <v>4839.25</v>
      </c>
      <c r="G133" s="7"/>
      <c r="H133" s="7"/>
      <c r="I133" s="7"/>
      <c r="J133" s="7"/>
      <c r="K133" s="3">
        <f t="shared" ref="K133:K196" si="2">F133</f>
        <v>4839.25</v>
      </c>
      <c r="L133" s="1"/>
      <c r="M133" s="7"/>
    </row>
    <row r="134" spans="1:13" x14ac:dyDescent="0.35">
      <c r="A134" t="s">
        <v>169</v>
      </c>
      <c r="B134" t="s">
        <v>113</v>
      </c>
      <c r="C134" t="s">
        <v>52</v>
      </c>
      <c r="D134" t="s">
        <v>93</v>
      </c>
      <c r="E134" s="1">
        <v>10.3925</v>
      </c>
      <c r="F134" s="2">
        <v>4554.5</v>
      </c>
      <c r="G134" s="7"/>
      <c r="H134" s="7"/>
      <c r="I134" s="7"/>
      <c r="J134" s="7"/>
      <c r="K134" s="3">
        <f t="shared" si="2"/>
        <v>4554.5</v>
      </c>
      <c r="L134" s="1"/>
      <c r="M134" s="7"/>
    </row>
    <row r="135" spans="1:13" x14ac:dyDescent="0.35">
      <c r="A135" t="s">
        <v>170</v>
      </c>
      <c r="B135" t="s">
        <v>113</v>
      </c>
      <c r="C135" t="s">
        <v>52</v>
      </c>
      <c r="D135" t="s">
        <v>93</v>
      </c>
      <c r="E135" s="1">
        <v>10.3925</v>
      </c>
      <c r="F135" s="2">
        <v>4071</v>
      </c>
      <c r="G135" s="7"/>
      <c r="H135" s="7"/>
      <c r="I135" s="7"/>
      <c r="J135" s="7"/>
      <c r="K135" s="3">
        <f t="shared" si="2"/>
        <v>4071</v>
      </c>
      <c r="L135" s="1"/>
      <c r="M135" s="7"/>
    </row>
    <row r="136" spans="1:13" x14ac:dyDescent="0.35">
      <c r="A136" t="s">
        <v>171</v>
      </c>
      <c r="B136" t="s">
        <v>113</v>
      </c>
      <c r="C136" t="s">
        <v>52</v>
      </c>
      <c r="D136" t="s">
        <v>93</v>
      </c>
      <c r="E136" s="1">
        <v>10.3925</v>
      </c>
      <c r="F136" s="2">
        <v>4083</v>
      </c>
      <c r="G136" s="7"/>
      <c r="H136" s="7"/>
      <c r="I136" s="7"/>
      <c r="J136" s="7"/>
      <c r="K136" s="3">
        <f t="shared" si="2"/>
        <v>4083</v>
      </c>
      <c r="L136" s="1"/>
      <c r="M136" s="7"/>
    </row>
    <row r="137" spans="1:13" x14ac:dyDescent="0.35">
      <c r="A137" t="s">
        <v>172</v>
      </c>
      <c r="B137" t="s">
        <v>113</v>
      </c>
      <c r="C137" t="s">
        <v>52</v>
      </c>
      <c r="D137" t="s">
        <v>93</v>
      </c>
      <c r="E137" s="1">
        <v>10.3925</v>
      </c>
      <c r="F137" s="2">
        <v>3916.25</v>
      </c>
      <c r="G137" s="7"/>
      <c r="H137" s="7"/>
      <c r="I137" s="7"/>
      <c r="J137" s="7"/>
      <c r="K137" s="3">
        <f t="shared" si="2"/>
        <v>3916.25</v>
      </c>
      <c r="L137" s="1"/>
      <c r="M137" s="7"/>
    </row>
    <row r="138" spans="1:13" x14ac:dyDescent="0.35">
      <c r="A138" t="s">
        <v>173</v>
      </c>
      <c r="B138" t="s">
        <v>113</v>
      </c>
      <c r="C138" t="s">
        <v>15</v>
      </c>
      <c r="D138" t="s">
        <v>174</v>
      </c>
      <c r="E138" s="1">
        <v>150.435</v>
      </c>
      <c r="F138" s="2">
        <v>4224.25</v>
      </c>
      <c r="G138" s="7"/>
      <c r="H138" s="7"/>
      <c r="I138" s="7"/>
      <c r="J138" s="7"/>
      <c r="K138" s="3">
        <f t="shared" si="2"/>
        <v>4224.25</v>
      </c>
      <c r="L138" s="1"/>
      <c r="M138" s="7"/>
    </row>
    <row r="139" spans="1:13" x14ac:dyDescent="0.35">
      <c r="A139" t="s">
        <v>175</v>
      </c>
      <c r="B139" t="s">
        <v>113</v>
      </c>
      <c r="C139" t="s">
        <v>15</v>
      </c>
      <c r="D139" t="s">
        <v>174</v>
      </c>
      <c r="E139" s="1">
        <v>49.962499999999999</v>
      </c>
      <c r="F139" s="2">
        <v>3925.25</v>
      </c>
      <c r="G139" s="7"/>
      <c r="H139" s="7"/>
      <c r="I139" s="7"/>
      <c r="J139" s="7"/>
      <c r="K139" s="3">
        <f t="shared" si="2"/>
        <v>3925.25</v>
      </c>
      <c r="L139" s="1"/>
      <c r="M139" s="7"/>
    </row>
    <row r="140" spans="1:13" x14ac:dyDescent="0.35">
      <c r="A140" t="s">
        <v>176</v>
      </c>
      <c r="B140" t="s">
        <v>113</v>
      </c>
      <c r="C140" t="s">
        <v>15</v>
      </c>
      <c r="D140" t="s">
        <v>174</v>
      </c>
      <c r="E140" s="1">
        <v>150.435</v>
      </c>
      <c r="F140" s="2">
        <v>4252.75</v>
      </c>
      <c r="G140" s="7"/>
      <c r="H140" s="7"/>
      <c r="I140" s="7"/>
      <c r="J140" s="7"/>
      <c r="K140" s="3">
        <f t="shared" si="2"/>
        <v>4252.75</v>
      </c>
      <c r="L140" s="1"/>
      <c r="M140" s="7"/>
    </row>
    <row r="141" spans="1:13" x14ac:dyDescent="0.35">
      <c r="A141" t="s">
        <v>177</v>
      </c>
      <c r="B141" t="s">
        <v>113</v>
      </c>
      <c r="C141" t="s">
        <v>15</v>
      </c>
      <c r="D141" t="s">
        <v>174</v>
      </c>
      <c r="E141" s="1">
        <v>150.435</v>
      </c>
      <c r="F141" s="2">
        <v>4308.25</v>
      </c>
      <c r="G141" s="7"/>
      <c r="H141" s="7"/>
      <c r="I141" s="7"/>
      <c r="J141" s="7"/>
      <c r="K141" s="3">
        <f t="shared" si="2"/>
        <v>4308.25</v>
      </c>
      <c r="L141" s="1"/>
      <c r="M141" s="7"/>
    </row>
    <row r="142" spans="1:13" x14ac:dyDescent="0.35">
      <c r="A142" t="s">
        <v>178</v>
      </c>
      <c r="B142" t="s">
        <v>113</v>
      </c>
      <c r="C142" t="s">
        <v>15</v>
      </c>
      <c r="D142" t="s">
        <v>174</v>
      </c>
      <c r="E142" s="1">
        <v>150.435</v>
      </c>
      <c r="F142" s="2">
        <v>3813</v>
      </c>
      <c r="G142" s="7"/>
      <c r="H142" s="7"/>
      <c r="I142" s="7"/>
      <c r="J142" s="7"/>
      <c r="K142" s="3">
        <f t="shared" si="2"/>
        <v>3813</v>
      </c>
      <c r="L142" s="1"/>
      <c r="M142" s="7"/>
    </row>
    <row r="143" spans="1:13" x14ac:dyDescent="0.35">
      <c r="A143" t="s">
        <v>179</v>
      </c>
      <c r="B143" t="s">
        <v>98</v>
      </c>
      <c r="C143" t="s">
        <v>15</v>
      </c>
      <c r="D143" t="s">
        <v>180</v>
      </c>
      <c r="E143" s="1">
        <v>13.4825</v>
      </c>
      <c r="F143" s="2">
        <v>4725.5</v>
      </c>
      <c r="G143" s="7"/>
      <c r="H143" s="7"/>
      <c r="I143" s="7"/>
      <c r="J143" s="7"/>
      <c r="K143" s="3">
        <f t="shared" si="2"/>
        <v>4725.5</v>
      </c>
      <c r="L143" s="1"/>
      <c r="M143" s="7"/>
    </row>
    <row r="144" spans="1:13" x14ac:dyDescent="0.35">
      <c r="A144" t="s">
        <v>181</v>
      </c>
      <c r="B144" t="s">
        <v>84</v>
      </c>
      <c r="C144" t="s">
        <v>15</v>
      </c>
      <c r="D144" t="s">
        <v>174</v>
      </c>
      <c r="E144" s="1">
        <v>49.962499999999999</v>
      </c>
      <c r="F144" s="2">
        <v>4888</v>
      </c>
      <c r="G144" s="7"/>
      <c r="H144" s="7"/>
      <c r="I144" s="7"/>
      <c r="J144" s="7"/>
      <c r="K144" s="3">
        <f t="shared" si="2"/>
        <v>4888</v>
      </c>
      <c r="L144" s="1"/>
      <c r="M144" s="7"/>
    </row>
    <row r="145" spans="1:13" x14ac:dyDescent="0.35">
      <c r="A145" t="s">
        <v>182</v>
      </c>
      <c r="B145" t="s">
        <v>98</v>
      </c>
      <c r="C145" t="s">
        <v>15</v>
      </c>
      <c r="D145" t="s">
        <v>22</v>
      </c>
      <c r="E145" s="1">
        <v>49.844999999999999</v>
      </c>
      <c r="F145" s="2">
        <v>4977.25</v>
      </c>
      <c r="G145" s="7"/>
      <c r="H145" s="7"/>
      <c r="I145" s="7"/>
      <c r="J145" s="7"/>
      <c r="K145" s="3">
        <f t="shared" si="2"/>
        <v>4977.25</v>
      </c>
      <c r="L145" s="1"/>
      <c r="M145" s="7"/>
    </row>
    <row r="146" spans="1:13" x14ac:dyDescent="0.35">
      <c r="A146" t="s">
        <v>183</v>
      </c>
      <c r="B146" t="s">
        <v>98</v>
      </c>
      <c r="C146" t="s">
        <v>15</v>
      </c>
      <c r="D146" t="s">
        <v>22</v>
      </c>
      <c r="E146" s="1">
        <v>49.844999999999999</v>
      </c>
      <c r="F146" s="2">
        <v>4607.5</v>
      </c>
      <c r="G146" s="7"/>
      <c r="H146" s="7"/>
      <c r="I146" s="7"/>
      <c r="J146" s="7"/>
      <c r="K146" s="3">
        <f t="shared" si="2"/>
        <v>4607.5</v>
      </c>
      <c r="L146" s="1"/>
      <c r="M146" s="7"/>
    </row>
    <row r="147" spans="1:13" x14ac:dyDescent="0.35">
      <c r="A147" t="s">
        <v>184</v>
      </c>
      <c r="B147" t="s">
        <v>98</v>
      </c>
      <c r="C147" t="s">
        <v>15</v>
      </c>
      <c r="D147" t="s">
        <v>22</v>
      </c>
      <c r="E147" s="1">
        <v>49.844999999999999</v>
      </c>
      <c r="F147" s="2">
        <v>4099.75</v>
      </c>
      <c r="G147" s="7"/>
      <c r="H147" s="7"/>
      <c r="I147" s="7"/>
      <c r="J147" s="7"/>
      <c r="K147" s="3">
        <f t="shared" si="2"/>
        <v>4099.75</v>
      </c>
      <c r="L147" s="1"/>
      <c r="M147" s="7"/>
    </row>
    <row r="148" spans="1:13" x14ac:dyDescent="0.35">
      <c r="A148" t="s">
        <v>185</v>
      </c>
      <c r="B148" t="s">
        <v>98</v>
      </c>
      <c r="C148" t="s">
        <v>15</v>
      </c>
      <c r="D148" t="s">
        <v>186</v>
      </c>
      <c r="E148" s="1">
        <v>11.8225</v>
      </c>
      <c r="F148" s="2">
        <v>3897</v>
      </c>
      <c r="G148" s="7"/>
      <c r="H148" s="7"/>
      <c r="I148" s="7"/>
      <c r="J148" s="7"/>
      <c r="K148" s="3">
        <f t="shared" si="2"/>
        <v>3897</v>
      </c>
      <c r="L148" s="1"/>
      <c r="M148" s="7"/>
    </row>
    <row r="149" spans="1:13" x14ac:dyDescent="0.35">
      <c r="A149" t="s">
        <v>187</v>
      </c>
      <c r="B149" t="s">
        <v>117</v>
      </c>
      <c r="C149" t="s">
        <v>15</v>
      </c>
      <c r="D149" t="s">
        <v>188</v>
      </c>
      <c r="E149" s="1">
        <v>3.01</v>
      </c>
      <c r="F149" s="2">
        <v>4918.25</v>
      </c>
      <c r="G149" s="7"/>
      <c r="H149" s="7"/>
      <c r="I149" s="7"/>
      <c r="J149" s="7"/>
      <c r="K149" s="3">
        <f t="shared" si="2"/>
        <v>4918.25</v>
      </c>
      <c r="L149" s="1"/>
      <c r="M149" s="7"/>
    </row>
    <row r="150" spans="1:13" x14ac:dyDescent="0.35">
      <c r="A150" t="s">
        <v>189</v>
      </c>
      <c r="B150" t="s">
        <v>117</v>
      </c>
      <c r="C150" t="s">
        <v>15</v>
      </c>
      <c r="D150" t="s">
        <v>188</v>
      </c>
      <c r="E150" s="1">
        <v>4.3449999999999998</v>
      </c>
      <c r="F150" s="2">
        <v>4110.25</v>
      </c>
      <c r="G150" s="7"/>
      <c r="H150" s="7"/>
      <c r="I150" s="7"/>
      <c r="J150" s="7"/>
      <c r="K150" s="3">
        <f t="shared" si="2"/>
        <v>4110.25</v>
      </c>
      <c r="L150" s="1"/>
      <c r="M150" s="7"/>
    </row>
    <row r="151" spans="1:13" x14ac:dyDescent="0.35">
      <c r="A151" t="s">
        <v>190</v>
      </c>
      <c r="B151" t="s">
        <v>117</v>
      </c>
      <c r="C151" t="s">
        <v>15</v>
      </c>
      <c r="D151" t="s">
        <v>188</v>
      </c>
      <c r="E151" s="1">
        <v>5.8425000000000002</v>
      </c>
      <c r="F151" s="2">
        <v>3830.75</v>
      </c>
      <c r="G151" s="7"/>
      <c r="H151" s="7"/>
      <c r="I151" s="7"/>
      <c r="J151" s="7"/>
      <c r="K151" s="3">
        <f t="shared" si="2"/>
        <v>3830.75</v>
      </c>
      <c r="L151" s="1"/>
      <c r="M151" s="7"/>
    </row>
    <row r="152" spans="1:13" x14ac:dyDescent="0.35">
      <c r="A152" t="s">
        <v>191</v>
      </c>
      <c r="B152" t="s">
        <v>117</v>
      </c>
      <c r="C152" t="s">
        <v>15</v>
      </c>
      <c r="D152" t="s">
        <v>188</v>
      </c>
      <c r="E152" s="1">
        <v>3.01</v>
      </c>
      <c r="F152" s="2">
        <v>3934.75</v>
      </c>
      <c r="G152" s="7"/>
      <c r="H152" s="7"/>
      <c r="I152" s="7"/>
      <c r="J152" s="7"/>
      <c r="K152" s="3">
        <f t="shared" si="2"/>
        <v>3934.75</v>
      </c>
      <c r="L152" s="1"/>
      <c r="M152" s="7"/>
    </row>
    <row r="153" spans="1:13" x14ac:dyDescent="0.35">
      <c r="A153" t="s">
        <v>192</v>
      </c>
      <c r="B153" t="s">
        <v>117</v>
      </c>
      <c r="C153" t="s">
        <v>15</v>
      </c>
      <c r="D153" t="s">
        <v>188</v>
      </c>
      <c r="E153" s="1">
        <v>4.3449999999999998</v>
      </c>
      <c r="F153" s="2">
        <v>4306</v>
      </c>
      <c r="G153" s="7"/>
      <c r="H153" s="7"/>
      <c r="I153" s="7"/>
      <c r="J153" s="7"/>
      <c r="K153" s="3">
        <f t="shared" si="2"/>
        <v>4306</v>
      </c>
      <c r="L153" s="1"/>
      <c r="M153" s="7"/>
    </row>
    <row r="154" spans="1:13" x14ac:dyDescent="0.35">
      <c r="A154" t="s">
        <v>193</v>
      </c>
      <c r="B154" t="s">
        <v>117</v>
      </c>
      <c r="C154" t="s">
        <v>15</v>
      </c>
      <c r="D154" t="s">
        <v>188</v>
      </c>
      <c r="E154" s="1">
        <v>5.8425000000000002</v>
      </c>
      <c r="F154" s="2">
        <v>4266.5</v>
      </c>
      <c r="G154" s="7"/>
      <c r="H154" s="7"/>
      <c r="I154" s="7"/>
      <c r="J154" s="7"/>
      <c r="K154" s="3">
        <f t="shared" si="2"/>
        <v>4266.5</v>
      </c>
      <c r="L154" s="1"/>
      <c r="M154" s="7"/>
    </row>
    <row r="155" spans="1:13" x14ac:dyDescent="0.35">
      <c r="A155" t="s">
        <v>194</v>
      </c>
      <c r="B155" t="s">
        <v>117</v>
      </c>
      <c r="C155" t="s">
        <v>15</v>
      </c>
      <c r="D155" t="s">
        <v>188</v>
      </c>
      <c r="E155" s="1">
        <v>3.01</v>
      </c>
      <c r="F155" s="2">
        <v>4858</v>
      </c>
      <c r="G155" s="7"/>
      <c r="H155" s="7"/>
      <c r="I155" s="7"/>
      <c r="J155" s="7"/>
      <c r="K155" s="3">
        <f t="shared" si="2"/>
        <v>4858</v>
      </c>
      <c r="L155" s="1"/>
      <c r="M155" s="7"/>
    </row>
    <row r="156" spans="1:13" x14ac:dyDescent="0.35">
      <c r="A156" t="s">
        <v>195</v>
      </c>
      <c r="B156" t="s">
        <v>117</v>
      </c>
      <c r="C156" t="s">
        <v>15</v>
      </c>
      <c r="D156" t="s">
        <v>188</v>
      </c>
      <c r="E156" s="1">
        <v>4.3449999999999998</v>
      </c>
      <c r="F156" s="2">
        <v>4543.75</v>
      </c>
      <c r="G156" s="7"/>
      <c r="H156" s="7"/>
      <c r="I156" s="7"/>
      <c r="J156" s="7"/>
      <c r="K156" s="3">
        <f t="shared" si="2"/>
        <v>4543.75</v>
      </c>
      <c r="L156" s="1"/>
      <c r="M156" s="7"/>
    </row>
    <row r="157" spans="1:13" x14ac:dyDescent="0.35">
      <c r="A157" t="s">
        <v>196</v>
      </c>
      <c r="B157" t="s">
        <v>117</v>
      </c>
      <c r="C157" t="s">
        <v>15</v>
      </c>
      <c r="D157" t="s">
        <v>188</v>
      </c>
      <c r="E157" s="1">
        <v>5.8425000000000002</v>
      </c>
      <c r="F157" s="2">
        <v>4152.5</v>
      </c>
      <c r="G157" s="7"/>
      <c r="H157" s="7"/>
      <c r="I157" s="7"/>
      <c r="J157" s="7"/>
      <c r="K157" s="3">
        <f t="shared" si="2"/>
        <v>4152.5</v>
      </c>
      <c r="L157" s="1"/>
      <c r="M157" s="7"/>
    </row>
    <row r="158" spans="1:13" x14ac:dyDescent="0.35">
      <c r="A158" t="s">
        <v>197</v>
      </c>
      <c r="B158" t="s">
        <v>98</v>
      </c>
      <c r="C158" t="s">
        <v>15</v>
      </c>
      <c r="D158" t="s">
        <v>22</v>
      </c>
      <c r="E158" s="1">
        <v>36.147500000000001</v>
      </c>
      <c r="F158" s="2">
        <v>4475.75</v>
      </c>
      <c r="G158" s="7"/>
      <c r="H158" s="7"/>
      <c r="I158" s="7"/>
      <c r="J158" s="7"/>
      <c r="K158" s="3">
        <f t="shared" si="2"/>
        <v>4475.75</v>
      </c>
      <c r="L158" s="1"/>
      <c r="M158" s="7"/>
    </row>
    <row r="159" spans="1:13" x14ac:dyDescent="0.35">
      <c r="A159" t="s">
        <v>198</v>
      </c>
      <c r="B159" t="s">
        <v>98</v>
      </c>
      <c r="C159" t="s">
        <v>15</v>
      </c>
      <c r="D159" t="s">
        <v>22</v>
      </c>
      <c r="E159" s="1">
        <v>36.147500000000001</v>
      </c>
      <c r="F159" s="2">
        <v>4877.5</v>
      </c>
      <c r="G159" s="7"/>
      <c r="H159" s="7"/>
      <c r="I159" s="7"/>
      <c r="J159" s="7"/>
      <c r="K159" s="3">
        <f t="shared" si="2"/>
        <v>4877.5</v>
      </c>
      <c r="L159" s="1"/>
      <c r="M159" s="7"/>
    </row>
    <row r="160" spans="1:13" x14ac:dyDescent="0.35">
      <c r="A160" t="s">
        <v>199</v>
      </c>
      <c r="B160" t="s">
        <v>98</v>
      </c>
      <c r="C160" t="s">
        <v>15</v>
      </c>
      <c r="D160" t="s">
        <v>22</v>
      </c>
      <c r="E160" s="1">
        <v>36.147500000000001</v>
      </c>
      <c r="F160" s="2">
        <v>4568.25</v>
      </c>
      <c r="G160" s="7"/>
      <c r="H160" s="7"/>
      <c r="I160" s="7"/>
      <c r="J160" s="7"/>
      <c r="K160" s="3">
        <f t="shared" si="2"/>
        <v>4568.25</v>
      </c>
      <c r="L160" s="1"/>
      <c r="M160" s="7"/>
    </row>
    <row r="161" spans="1:13" x14ac:dyDescent="0.35">
      <c r="A161" t="s">
        <v>200</v>
      </c>
      <c r="B161" t="s">
        <v>98</v>
      </c>
      <c r="C161" t="s">
        <v>15</v>
      </c>
      <c r="D161" t="s">
        <v>22</v>
      </c>
      <c r="E161" s="1">
        <v>36.147500000000001</v>
      </c>
      <c r="F161" s="2">
        <v>3766.75</v>
      </c>
      <c r="G161" s="7"/>
      <c r="H161" s="7"/>
      <c r="I161" s="7"/>
      <c r="J161" s="7"/>
      <c r="K161" s="3">
        <f t="shared" si="2"/>
        <v>3766.75</v>
      </c>
      <c r="L161" s="1"/>
      <c r="M161" s="7"/>
    </row>
    <row r="162" spans="1:13" x14ac:dyDescent="0.35">
      <c r="A162" t="s">
        <v>201</v>
      </c>
      <c r="B162" t="s">
        <v>117</v>
      </c>
      <c r="C162" t="s">
        <v>18</v>
      </c>
      <c r="D162" t="s">
        <v>156</v>
      </c>
      <c r="E162" s="1">
        <v>0.46750000000000003</v>
      </c>
      <c r="F162" s="2">
        <v>4745.25</v>
      </c>
      <c r="G162" s="7"/>
      <c r="H162" s="7"/>
      <c r="I162" s="7"/>
      <c r="J162" s="7"/>
      <c r="K162" s="3">
        <f t="shared" si="2"/>
        <v>4745.25</v>
      </c>
      <c r="L162" s="1"/>
      <c r="M162" s="7"/>
    </row>
    <row r="163" spans="1:13" x14ac:dyDescent="0.35">
      <c r="A163" t="s">
        <v>202</v>
      </c>
      <c r="B163" t="s">
        <v>117</v>
      </c>
      <c r="C163" t="s">
        <v>18</v>
      </c>
      <c r="D163" t="s">
        <v>156</v>
      </c>
      <c r="E163" s="1">
        <v>0.3725</v>
      </c>
      <c r="F163" s="2">
        <v>4184.75</v>
      </c>
      <c r="G163" s="7"/>
      <c r="H163" s="7"/>
      <c r="I163" s="7"/>
      <c r="J163" s="7"/>
      <c r="K163" s="3">
        <f t="shared" si="2"/>
        <v>4184.75</v>
      </c>
      <c r="L163" s="1"/>
      <c r="M163" s="7"/>
    </row>
    <row r="164" spans="1:13" x14ac:dyDescent="0.35">
      <c r="A164" t="s">
        <v>203</v>
      </c>
      <c r="B164" t="s">
        <v>117</v>
      </c>
      <c r="C164" t="s">
        <v>18</v>
      </c>
      <c r="D164" t="s">
        <v>156</v>
      </c>
      <c r="E164" s="1">
        <v>0.46750000000000003</v>
      </c>
      <c r="F164" s="2">
        <v>3943.75</v>
      </c>
      <c r="G164" s="7"/>
      <c r="H164" s="7"/>
      <c r="I164" s="7"/>
      <c r="J164" s="7"/>
      <c r="K164" s="3">
        <f t="shared" si="2"/>
        <v>3943.75</v>
      </c>
      <c r="L164" s="1"/>
      <c r="M164" s="7"/>
    </row>
    <row r="165" spans="1:13" x14ac:dyDescent="0.35">
      <c r="A165" t="s">
        <v>204</v>
      </c>
      <c r="B165" t="s">
        <v>117</v>
      </c>
      <c r="C165" t="s">
        <v>18</v>
      </c>
      <c r="D165" t="s">
        <v>156</v>
      </c>
      <c r="E165" s="1">
        <v>2.3374999999999999</v>
      </c>
      <c r="F165" s="2">
        <v>4494</v>
      </c>
      <c r="G165" s="7"/>
      <c r="H165" s="7"/>
      <c r="I165" s="7"/>
      <c r="J165" s="7"/>
      <c r="K165" s="3">
        <f t="shared" si="2"/>
        <v>4494</v>
      </c>
      <c r="L165" s="1"/>
      <c r="M165" s="7"/>
    </row>
    <row r="166" spans="1:13" x14ac:dyDescent="0.35">
      <c r="A166" t="s">
        <v>205</v>
      </c>
      <c r="B166" t="s">
        <v>117</v>
      </c>
      <c r="C166" t="s">
        <v>18</v>
      </c>
      <c r="D166" t="s">
        <v>156</v>
      </c>
      <c r="E166" s="1">
        <v>2.8050000000000002</v>
      </c>
      <c r="F166" s="2">
        <v>3786.5</v>
      </c>
      <c r="G166" s="7"/>
      <c r="H166" s="7"/>
      <c r="I166" s="7"/>
      <c r="J166" s="7"/>
      <c r="K166" s="3">
        <f t="shared" si="2"/>
        <v>3786.5</v>
      </c>
      <c r="L166" s="1"/>
      <c r="M166" s="7"/>
    </row>
    <row r="167" spans="1:13" x14ac:dyDescent="0.35">
      <c r="A167" t="s">
        <v>206</v>
      </c>
      <c r="B167" t="s">
        <v>117</v>
      </c>
      <c r="C167" t="s">
        <v>18</v>
      </c>
      <c r="D167" t="s">
        <v>156</v>
      </c>
      <c r="E167" s="1">
        <v>3.2725</v>
      </c>
      <c r="F167" s="2">
        <v>4230.75</v>
      </c>
      <c r="G167" s="7"/>
      <c r="H167" s="7"/>
      <c r="I167" s="7"/>
      <c r="J167" s="7"/>
      <c r="K167" s="3">
        <f t="shared" si="2"/>
        <v>4230.75</v>
      </c>
      <c r="L167" s="1"/>
      <c r="M167" s="7"/>
    </row>
    <row r="168" spans="1:13" x14ac:dyDescent="0.35">
      <c r="A168" t="s">
        <v>207</v>
      </c>
      <c r="B168" t="s">
        <v>117</v>
      </c>
      <c r="C168" t="s">
        <v>18</v>
      </c>
      <c r="D168" t="s">
        <v>156</v>
      </c>
      <c r="E168" s="1">
        <v>2.0099999999999998</v>
      </c>
      <c r="F168" s="2">
        <v>4832.25</v>
      </c>
      <c r="G168" s="7"/>
      <c r="H168" s="7"/>
      <c r="I168" s="7"/>
      <c r="J168" s="7"/>
      <c r="K168" s="3">
        <f t="shared" si="2"/>
        <v>4832.25</v>
      </c>
      <c r="L168" s="1"/>
      <c r="M168" s="7"/>
    </row>
    <row r="169" spans="1:13" x14ac:dyDescent="0.35">
      <c r="A169" t="s">
        <v>208</v>
      </c>
      <c r="B169" t="s">
        <v>117</v>
      </c>
      <c r="C169" t="s">
        <v>18</v>
      </c>
      <c r="D169" t="s">
        <v>156</v>
      </c>
      <c r="E169" s="1">
        <v>2.3374999999999999</v>
      </c>
      <c r="F169" s="2">
        <v>4809.5</v>
      </c>
      <c r="G169" s="7"/>
      <c r="H169" s="7"/>
      <c r="I169" s="7"/>
      <c r="J169" s="7"/>
      <c r="K169" s="3">
        <f t="shared" si="2"/>
        <v>4809.5</v>
      </c>
      <c r="L169" s="1"/>
      <c r="M169" s="7"/>
    </row>
    <row r="170" spans="1:13" x14ac:dyDescent="0.35">
      <c r="A170" t="s">
        <v>209</v>
      </c>
      <c r="B170" t="s">
        <v>117</v>
      </c>
      <c r="C170" t="s">
        <v>18</v>
      </c>
      <c r="D170" t="s">
        <v>156</v>
      </c>
      <c r="E170" s="1">
        <v>3.0474999999999999</v>
      </c>
      <c r="F170" s="2">
        <v>4893.25</v>
      </c>
      <c r="G170" s="7"/>
      <c r="H170" s="7"/>
      <c r="I170" s="7"/>
      <c r="J170" s="7"/>
      <c r="K170" s="3">
        <f t="shared" si="2"/>
        <v>4893.25</v>
      </c>
      <c r="L170" s="1"/>
      <c r="M170" s="7"/>
    </row>
    <row r="171" spans="1:13" x14ac:dyDescent="0.35">
      <c r="A171" t="s">
        <v>210</v>
      </c>
      <c r="B171" t="s">
        <v>117</v>
      </c>
      <c r="C171" t="s">
        <v>18</v>
      </c>
      <c r="D171" t="s">
        <v>156</v>
      </c>
      <c r="E171" s="1">
        <v>2.71</v>
      </c>
      <c r="F171" s="2">
        <v>3940.25</v>
      </c>
      <c r="G171" s="7"/>
      <c r="H171" s="7"/>
      <c r="I171" s="7"/>
      <c r="J171" s="7"/>
      <c r="K171" s="3">
        <f t="shared" si="2"/>
        <v>3940.25</v>
      </c>
      <c r="L171" s="1"/>
      <c r="M171" s="7"/>
    </row>
    <row r="172" spans="1:13" x14ac:dyDescent="0.35">
      <c r="A172" t="s">
        <v>211</v>
      </c>
      <c r="B172" t="s">
        <v>212</v>
      </c>
      <c r="C172" t="s">
        <v>15</v>
      </c>
      <c r="D172" t="s">
        <v>213</v>
      </c>
      <c r="E172" s="1">
        <v>4.4950000000000001</v>
      </c>
      <c r="F172" s="2">
        <v>4901.5</v>
      </c>
      <c r="G172" s="7"/>
      <c r="H172" s="7"/>
      <c r="I172" s="7"/>
      <c r="J172" s="7"/>
      <c r="K172" s="3">
        <f t="shared" si="2"/>
        <v>4901.5</v>
      </c>
      <c r="L172" s="1"/>
      <c r="M172" s="7"/>
    </row>
    <row r="173" spans="1:13" x14ac:dyDescent="0.35">
      <c r="A173" t="s">
        <v>214</v>
      </c>
      <c r="B173" t="s">
        <v>212</v>
      </c>
      <c r="C173" t="s">
        <v>15</v>
      </c>
      <c r="D173" t="s">
        <v>213</v>
      </c>
      <c r="E173" s="1">
        <v>6.8925000000000001</v>
      </c>
      <c r="F173" s="2">
        <v>4552.75</v>
      </c>
      <c r="G173" s="7"/>
      <c r="H173" s="7"/>
      <c r="I173" s="7"/>
      <c r="J173" s="7"/>
      <c r="K173" s="3">
        <f t="shared" si="2"/>
        <v>4552.75</v>
      </c>
      <c r="L173" s="1"/>
      <c r="M173" s="7"/>
    </row>
    <row r="174" spans="1:13" x14ac:dyDescent="0.35">
      <c r="A174" t="s">
        <v>215</v>
      </c>
      <c r="B174" t="s">
        <v>212</v>
      </c>
      <c r="C174" t="s">
        <v>15</v>
      </c>
      <c r="D174" t="s">
        <v>213</v>
      </c>
      <c r="E174" s="1">
        <v>8.99</v>
      </c>
      <c r="F174" s="2">
        <v>4139</v>
      </c>
      <c r="G174" s="7"/>
      <c r="H174" s="7"/>
      <c r="I174" s="7"/>
      <c r="J174" s="7"/>
      <c r="K174" s="3">
        <f t="shared" si="2"/>
        <v>4139</v>
      </c>
      <c r="L174" s="1"/>
      <c r="M174" s="7"/>
    </row>
    <row r="175" spans="1:13" x14ac:dyDescent="0.35">
      <c r="A175" t="s">
        <v>216</v>
      </c>
      <c r="B175" t="s">
        <v>212</v>
      </c>
      <c r="C175" t="s">
        <v>15</v>
      </c>
      <c r="D175" t="s">
        <v>213</v>
      </c>
      <c r="E175" s="1">
        <v>4.4950000000000001</v>
      </c>
      <c r="F175" s="2">
        <v>4725</v>
      </c>
      <c r="G175" s="7"/>
      <c r="H175" s="7"/>
      <c r="I175" s="7"/>
      <c r="J175" s="7"/>
      <c r="K175" s="3">
        <f t="shared" si="2"/>
        <v>4725</v>
      </c>
      <c r="L175" s="1"/>
      <c r="M175" s="7"/>
    </row>
    <row r="176" spans="1:13" x14ac:dyDescent="0.35">
      <c r="A176" t="s">
        <v>217</v>
      </c>
      <c r="B176" t="s">
        <v>212</v>
      </c>
      <c r="C176" t="s">
        <v>15</v>
      </c>
      <c r="D176" t="s">
        <v>213</v>
      </c>
      <c r="E176" s="1">
        <v>6.8925000000000001</v>
      </c>
      <c r="F176" s="2">
        <v>4308.25</v>
      </c>
      <c r="G176" s="7"/>
      <c r="H176" s="7"/>
      <c r="I176" s="7"/>
      <c r="J176" s="7"/>
      <c r="K176" s="3">
        <f t="shared" si="2"/>
        <v>4308.25</v>
      </c>
      <c r="L176" s="1"/>
      <c r="M176" s="7"/>
    </row>
    <row r="177" spans="1:13" x14ac:dyDescent="0.35">
      <c r="A177" t="s">
        <v>218</v>
      </c>
      <c r="B177" t="s">
        <v>212</v>
      </c>
      <c r="C177" t="s">
        <v>15</v>
      </c>
      <c r="D177" t="s">
        <v>213</v>
      </c>
      <c r="E177" s="1">
        <v>8.99</v>
      </c>
      <c r="F177" s="2">
        <v>4859.5</v>
      </c>
      <c r="G177" s="7"/>
      <c r="H177" s="7"/>
      <c r="I177" s="7"/>
      <c r="J177" s="7"/>
      <c r="K177" s="3">
        <f t="shared" si="2"/>
        <v>4859.5</v>
      </c>
      <c r="L177" s="1"/>
      <c r="M177" s="7"/>
    </row>
    <row r="178" spans="1:13" x14ac:dyDescent="0.35">
      <c r="A178" t="s">
        <v>219</v>
      </c>
      <c r="B178" t="s">
        <v>212</v>
      </c>
      <c r="C178" t="s">
        <v>15</v>
      </c>
      <c r="D178" t="s">
        <v>213</v>
      </c>
      <c r="E178" s="1">
        <v>8.99</v>
      </c>
      <c r="F178" s="2">
        <v>4923.75</v>
      </c>
      <c r="G178" s="7"/>
      <c r="H178" s="7"/>
      <c r="I178" s="7"/>
      <c r="J178" s="7"/>
      <c r="K178" s="3">
        <f t="shared" si="2"/>
        <v>4923.75</v>
      </c>
      <c r="L178" s="1"/>
      <c r="M178" s="7"/>
    </row>
    <row r="179" spans="1:13" x14ac:dyDescent="0.35">
      <c r="A179" t="s">
        <v>220</v>
      </c>
      <c r="B179" t="s">
        <v>98</v>
      </c>
      <c r="C179" t="s">
        <v>15</v>
      </c>
      <c r="D179" t="s">
        <v>22</v>
      </c>
      <c r="E179" s="1">
        <v>49.844999999999999</v>
      </c>
      <c r="F179" s="2">
        <v>4740</v>
      </c>
      <c r="G179" s="7"/>
      <c r="H179" s="7"/>
      <c r="I179" s="7"/>
      <c r="J179" s="7"/>
      <c r="K179" s="3">
        <f t="shared" si="2"/>
        <v>4740</v>
      </c>
      <c r="L179" s="1"/>
      <c r="M179" s="7"/>
    </row>
    <row r="180" spans="1:13" x14ac:dyDescent="0.35">
      <c r="A180" t="s">
        <v>221</v>
      </c>
      <c r="B180" t="s">
        <v>98</v>
      </c>
      <c r="C180" t="s">
        <v>15</v>
      </c>
      <c r="D180" t="s">
        <v>22</v>
      </c>
      <c r="E180" s="1">
        <v>36.147500000000001</v>
      </c>
      <c r="F180" s="2">
        <v>4245.5</v>
      </c>
      <c r="G180" s="7"/>
      <c r="H180" s="7"/>
      <c r="I180" s="7"/>
      <c r="J180" s="7"/>
      <c r="K180" s="3">
        <f t="shared" si="2"/>
        <v>4245.5</v>
      </c>
      <c r="L180" s="1"/>
      <c r="M180" s="7"/>
    </row>
    <row r="181" spans="1:13" x14ac:dyDescent="0.35">
      <c r="A181" t="s">
        <v>222</v>
      </c>
      <c r="B181" t="s">
        <v>98</v>
      </c>
      <c r="C181" t="s">
        <v>15</v>
      </c>
      <c r="D181" t="s">
        <v>180</v>
      </c>
      <c r="E181" s="1">
        <v>10.154999999999999</v>
      </c>
      <c r="F181" s="2">
        <v>4428</v>
      </c>
      <c r="G181" s="7"/>
      <c r="H181" s="7"/>
      <c r="I181" s="7"/>
      <c r="J181" s="7"/>
      <c r="K181" s="3">
        <f t="shared" si="2"/>
        <v>4428</v>
      </c>
      <c r="L181" s="1"/>
      <c r="M181" s="7"/>
    </row>
    <row r="182" spans="1:13" x14ac:dyDescent="0.35">
      <c r="A182" t="s">
        <v>223</v>
      </c>
      <c r="B182" t="s">
        <v>117</v>
      </c>
      <c r="C182" t="s">
        <v>15</v>
      </c>
      <c r="D182" t="s">
        <v>126</v>
      </c>
      <c r="E182" s="1">
        <v>5.1150000000000002</v>
      </c>
      <c r="F182" s="2">
        <v>4288</v>
      </c>
      <c r="G182" s="7"/>
      <c r="H182" s="7"/>
      <c r="I182" s="7"/>
      <c r="J182" s="7"/>
      <c r="K182" s="3">
        <f t="shared" si="2"/>
        <v>4288</v>
      </c>
      <c r="L182" s="1"/>
      <c r="M182" s="7"/>
    </row>
    <row r="183" spans="1:13" x14ac:dyDescent="0.35">
      <c r="A183" t="s">
        <v>224</v>
      </c>
      <c r="B183" t="s">
        <v>117</v>
      </c>
      <c r="C183" t="s">
        <v>15</v>
      </c>
      <c r="D183" t="s">
        <v>126</v>
      </c>
      <c r="E183" s="1">
        <v>10.164999999999999</v>
      </c>
      <c r="F183" s="2">
        <v>4811.25</v>
      </c>
      <c r="G183" s="7"/>
      <c r="H183" s="7"/>
      <c r="I183" s="7"/>
      <c r="J183" s="7"/>
      <c r="K183" s="3">
        <f t="shared" si="2"/>
        <v>4811.25</v>
      </c>
      <c r="L183" s="1"/>
      <c r="M183" s="7"/>
    </row>
    <row r="184" spans="1:13" x14ac:dyDescent="0.35">
      <c r="A184" t="s">
        <v>225</v>
      </c>
      <c r="B184" t="s">
        <v>98</v>
      </c>
      <c r="C184" t="s">
        <v>15</v>
      </c>
      <c r="D184" t="s">
        <v>186</v>
      </c>
      <c r="E184" s="1">
        <v>11.8225</v>
      </c>
      <c r="F184" s="2">
        <v>4399</v>
      </c>
      <c r="G184" s="7"/>
      <c r="H184" s="7"/>
      <c r="I184" s="7"/>
      <c r="J184" s="7"/>
      <c r="K184" s="3">
        <f t="shared" si="2"/>
        <v>4399</v>
      </c>
      <c r="L184" s="1"/>
      <c r="M184" s="7"/>
    </row>
    <row r="185" spans="1:13" x14ac:dyDescent="0.35">
      <c r="A185" t="s">
        <v>226</v>
      </c>
      <c r="B185" t="s">
        <v>98</v>
      </c>
      <c r="C185" t="s">
        <v>15</v>
      </c>
      <c r="D185" t="s">
        <v>227</v>
      </c>
      <c r="E185" s="1">
        <v>2.2475000000000001</v>
      </c>
      <c r="F185" s="2">
        <v>4513.75</v>
      </c>
      <c r="G185" s="7"/>
      <c r="H185" s="7"/>
      <c r="I185" s="7"/>
      <c r="J185" s="7"/>
      <c r="K185" s="3">
        <f t="shared" si="2"/>
        <v>4513.75</v>
      </c>
      <c r="L185" s="1"/>
      <c r="M185" s="7"/>
    </row>
    <row r="186" spans="1:13" x14ac:dyDescent="0.35">
      <c r="A186" t="s">
        <v>228</v>
      </c>
      <c r="B186" t="s">
        <v>84</v>
      </c>
      <c r="C186" t="s">
        <v>24</v>
      </c>
      <c r="D186" t="s">
        <v>229</v>
      </c>
      <c r="E186" s="1">
        <v>188.78749999999999</v>
      </c>
      <c r="F186" s="2">
        <v>4363.25</v>
      </c>
      <c r="G186" s="7"/>
      <c r="H186" s="7"/>
      <c r="I186" s="7"/>
      <c r="J186" s="7"/>
      <c r="K186" s="3">
        <f t="shared" si="2"/>
        <v>4363.25</v>
      </c>
      <c r="L186" s="1"/>
      <c r="M186" s="7"/>
    </row>
    <row r="187" spans="1:13" x14ac:dyDescent="0.35">
      <c r="A187" t="s">
        <v>230</v>
      </c>
      <c r="B187" t="s">
        <v>113</v>
      </c>
      <c r="C187" t="s">
        <v>24</v>
      </c>
      <c r="D187" t="s">
        <v>229</v>
      </c>
      <c r="E187" s="1">
        <v>370.48500000000001</v>
      </c>
      <c r="F187" s="2">
        <v>4388.75</v>
      </c>
      <c r="G187" s="7"/>
      <c r="H187" s="7"/>
      <c r="I187" s="7"/>
      <c r="J187" s="7"/>
      <c r="K187" s="3">
        <f t="shared" si="2"/>
        <v>4388.75</v>
      </c>
      <c r="L187" s="1"/>
      <c r="M187" s="7"/>
    </row>
    <row r="188" spans="1:13" x14ac:dyDescent="0.35">
      <c r="A188" t="s">
        <v>231</v>
      </c>
      <c r="B188" t="s">
        <v>113</v>
      </c>
      <c r="C188" t="s">
        <v>24</v>
      </c>
      <c r="D188" t="s">
        <v>229</v>
      </c>
      <c r="E188" s="1">
        <v>370.48500000000001</v>
      </c>
      <c r="F188" s="2">
        <v>4916.75</v>
      </c>
      <c r="G188" s="7"/>
      <c r="H188" s="7"/>
      <c r="I188" s="7"/>
      <c r="J188" s="7"/>
      <c r="K188" s="3">
        <f t="shared" si="2"/>
        <v>4916.75</v>
      </c>
      <c r="L188" s="1"/>
      <c r="M188" s="7"/>
    </row>
    <row r="189" spans="1:13" x14ac:dyDescent="0.35">
      <c r="A189" t="s">
        <v>232</v>
      </c>
      <c r="B189" t="s">
        <v>113</v>
      </c>
      <c r="C189" t="s">
        <v>24</v>
      </c>
      <c r="D189" t="s">
        <v>229</v>
      </c>
      <c r="E189" s="1">
        <v>370.48500000000001</v>
      </c>
      <c r="F189" s="2">
        <v>4647.25</v>
      </c>
      <c r="G189" s="7"/>
      <c r="H189" s="7"/>
      <c r="I189" s="7"/>
      <c r="J189" s="7"/>
      <c r="K189" s="3">
        <f t="shared" si="2"/>
        <v>4647.25</v>
      </c>
      <c r="L189" s="1"/>
      <c r="M189" s="7"/>
    </row>
    <row r="190" spans="1:13" x14ac:dyDescent="0.35">
      <c r="A190" t="s">
        <v>233</v>
      </c>
      <c r="B190" t="s">
        <v>113</v>
      </c>
      <c r="C190" t="s">
        <v>24</v>
      </c>
      <c r="D190" t="s">
        <v>229</v>
      </c>
      <c r="E190" s="1">
        <v>370.48500000000001</v>
      </c>
      <c r="F190" s="2">
        <v>4568.75</v>
      </c>
      <c r="G190" s="7"/>
      <c r="H190" s="7"/>
      <c r="I190" s="7"/>
      <c r="J190" s="7"/>
      <c r="K190" s="3">
        <f t="shared" si="2"/>
        <v>4568.75</v>
      </c>
      <c r="L190" s="1"/>
      <c r="M190" s="7"/>
    </row>
    <row r="191" spans="1:13" x14ac:dyDescent="0.35">
      <c r="A191" t="s">
        <v>234</v>
      </c>
      <c r="B191" t="s">
        <v>113</v>
      </c>
      <c r="C191" t="s">
        <v>24</v>
      </c>
      <c r="D191" t="s">
        <v>229</v>
      </c>
      <c r="E191" s="1">
        <v>115.36</v>
      </c>
      <c r="F191" s="2">
        <v>4827.75</v>
      </c>
      <c r="G191" s="7"/>
      <c r="H191" s="7"/>
      <c r="I191" s="7"/>
      <c r="J191" s="7"/>
      <c r="K191" s="3">
        <f t="shared" si="2"/>
        <v>4827.75</v>
      </c>
      <c r="L191" s="1"/>
      <c r="M191" s="7"/>
    </row>
    <row r="192" spans="1:13" x14ac:dyDescent="0.35">
      <c r="A192" t="s">
        <v>235</v>
      </c>
      <c r="B192" t="s">
        <v>113</v>
      </c>
      <c r="C192" t="s">
        <v>24</v>
      </c>
      <c r="D192" t="s">
        <v>229</v>
      </c>
      <c r="E192" s="1">
        <v>115.36</v>
      </c>
      <c r="F192" s="2">
        <v>4544.5</v>
      </c>
      <c r="G192" s="7"/>
      <c r="H192" s="7"/>
      <c r="I192" s="7"/>
      <c r="J192" s="7"/>
      <c r="K192" s="3">
        <f t="shared" si="2"/>
        <v>4544.5</v>
      </c>
      <c r="L192" s="1"/>
      <c r="M192" s="7"/>
    </row>
    <row r="193" spans="1:17" x14ac:dyDescent="0.35">
      <c r="A193" t="s">
        <v>236</v>
      </c>
      <c r="B193" t="s">
        <v>113</v>
      </c>
      <c r="C193" t="s">
        <v>24</v>
      </c>
      <c r="D193" t="s">
        <v>229</v>
      </c>
      <c r="E193" s="1">
        <v>115.36</v>
      </c>
      <c r="F193" s="2">
        <v>4624.75</v>
      </c>
      <c r="G193" s="7"/>
      <c r="H193" s="7"/>
      <c r="I193" s="7"/>
      <c r="J193" s="7"/>
      <c r="K193" s="3">
        <f t="shared" si="2"/>
        <v>4624.75</v>
      </c>
      <c r="L193" s="1"/>
      <c r="M193" s="7"/>
    </row>
    <row r="194" spans="1:17" x14ac:dyDescent="0.35">
      <c r="A194" t="s">
        <v>237</v>
      </c>
      <c r="B194" t="s">
        <v>98</v>
      </c>
      <c r="C194" t="s">
        <v>24</v>
      </c>
      <c r="D194" t="s">
        <v>28</v>
      </c>
      <c r="E194" s="1">
        <v>104.94499999999999</v>
      </c>
      <c r="F194" s="2">
        <v>4579.75</v>
      </c>
      <c r="G194" s="7"/>
      <c r="H194" s="7"/>
      <c r="I194" s="7"/>
      <c r="J194" s="7"/>
      <c r="K194" s="3">
        <f t="shared" si="2"/>
        <v>4579.75</v>
      </c>
      <c r="L194" s="1"/>
      <c r="M194" s="7"/>
      <c r="Q194" s="4"/>
    </row>
    <row r="195" spans="1:17" x14ac:dyDescent="0.35">
      <c r="A195" t="s">
        <v>238</v>
      </c>
      <c r="B195" t="s">
        <v>98</v>
      </c>
      <c r="C195" t="s">
        <v>24</v>
      </c>
      <c r="D195" t="s">
        <v>28</v>
      </c>
      <c r="E195" s="1">
        <v>104.94499999999999</v>
      </c>
      <c r="F195" s="2">
        <v>4769.25</v>
      </c>
      <c r="G195" s="7"/>
      <c r="H195" s="7"/>
      <c r="I195" s="7"/>
      <c r="J195" s="7"/>
      <c r="K195" s="3">
        <f t="shared" si="2"/>
        <v>4769.25</v>
      </c>
      <c r="L195" s="1"/>
      <c r="M195" s="7"/>
    </row>
    <row r="196" spans="1:17" x14ac:dyDescent="0.35">
      <c r="A196" t="s">
        <v>239</v>
      </c>
      <c r="B196" t="s">
        <v>98</v>
      </c>
      <c r="C196" t="s">
        <v>24</v>
      </c>
      <c r="D196" t="s">
        <v>28</v>
      </c>
      <c r="E196" s="1">
        <v>104.94499999999999</v>
      </c>
      <c r="F196" s="2">
        <v>3845.25</v>
      </c>
      <c r="G196" s="7"/>
      <c r="H196" s="7"/>
      <c r="I196" s="7"/>
      <c r="J196" s="7"/>
      <c r="K196" s="3">
        <f t="shared" si="2"/>
        <v>3845.25</v>
      </c>
      <c r="L196" s="1"/>
      <c r="M196" s="7"/>
    </row>
    <row r="197" spans="1:17" x14ac:dyDescent="0.35">
      <c r="A197" t="s">
        <v>240</v>
      </c>
      <c r="B197" t="s">
        <v>98</v>
      </c>
      <c r="C197" t="s">
        <v>24</v>
      </c>
      <c r="D197" t="s">
        <v>28</v>
      </c>
      <c r="E197" s="1">
        <v>104.94499999999999</v>
      </c>
      <c r="F197" s="2">
        <v>4988.75</v>
      </c>
      <c r="G197" s="7"/>
      <c r="H197" s="7"/>
      <c r="I197" s="7"/>
      <c r="J197" s="7"/>
      <c r="K197" s="3">
        <f t="shared" ref="K197:K200" si="3">F197</f>
        <v>4988.75</v>
      </c>
      <c r="L197" s="1"/>
      <c r="M197" s="7"/>
    </row>
    <row r="198" spans="1:17" x14ac:dyDescent="0.35">
      <c r="A198" t="s">
        <v>241</v>
      </c>
      <c r="B198" t="s">
        <v>117</v>
      </c>
      <c r="C198" t="s">
        <v>15</v>
      </c>
      <c r="D198" t="s">
        <v>242</v>
      </c>
      <c r="E198" s="1">
        <v>5.9924999999999997</v>
      </c>
      <c r="F198" s="2">
        <v>3783.25</v>
      </c>
      <c r="G198" s="7"/>
      <c r="H198" s="7"/>
      <c r="I198" s="7"/>
      <c r="J198" s="7"/>
      <c r="K198" s="3">
        <f t="shared" si="3"/>
        <v>3783.25</v>
      </c>
      <c r="L198" s="1"/>
      <c r="M198" s="7"/>
    </row>
    <row r="199" spans="1:17" x14ac:dyDescent="0.35">
      <c r="A199" t="s">
        <v>243</v>
      </c>
      <c r="B199" t="s">
        <v>117</v>
      </c>
      <c r="C199" t="s">
        <v>15</v>
      </c>
      <c r="D199" t="s">
        <v>242</v>
      </c>
      <c r="E199" s="1">
        <v>11.237500000000001</v>
      </c>
      <c r="F199" s="2">
        <v>4717.75</v>
      </c>
      <c r="G199" s="7"/>
      <c r="H199" s="7"/>
      <c r="I199" s="7"/>
      <c r="J199" s="7"/>
      <c r="K199" s="3">
        <f t="shared" si="3"/>
        <v>4717.75</v>
      </c>
      <c r="L199" s="1"/>
      <c r="M199" s="7"/>
    </row>
    <row r="200" spans="1:17" x14ac:dyDescent="0.35">
      <c r="A200" t="s">
        <v>244</v>
      </c>
      <c r="B200" t="s">
        <v>117</v>
      </c>
      <c r="C200" t="s">
        <v>15</v>
      </c>
      <c r="D200" t="s">
        <v>242</v>
      </c>
      <c r="E200" s="1">
        <v>13.484999999999999</v>
      </c>
      <c r="F200" s="2">
        <v>4766.5</v>
      </c>
      <c r="G200" s="7"/>
      <c r="H200" s="7"/>
      <c r="I200" s="7"/>
      <c r="J200" s="7"/>
      <c r="K200" s="3">
        <f t="shared" si="3"/>
        <v>4766.5</v>
      </c>
      <c r="L200" s="1"/>
      <c r="M200" s="7"/>
    </row>
    <row r="201" spans="1:17" ht="15" thickBot="1" x14ac:dyDescent="0.4">
      <c r="G201" s="5">
        <f t="shared" ref="G201:M201" si="4">SUM(G4:G200)</f>
        <v>0</v>
      </c>
      <c r="H201" s="5">
        <f t="shared" si="4"/>
        <v>0</v>
      </c>
      <c r="I201" s="5">
        <f t="shared" si="4"/>
        <v>0</v>
      </c>
      <c r="J201" s="5">
        <f t="shared" si="4"/>
        <v>0</v>
      </c>
      <c r="K201" s="8">
        <f t="shared" si="4"/>
        <v>860265.75</v>
      </c>
      <c r="L201" s="5">
        <f t="shared" si="4"/>
        <v>0</v>
      </c>
      <c r="M201" s="5">
        <f t="shared" si="4"/>
        <v>0</v>
      </c>
    </row>
    <row r="202" spans="1:17" ht="15" thickTop="1" x14ac:dyDescent="0.35"/>
  </sheetData>
  <mergeCells count="13">
    <mergeCell ref="M1:M3"/>
    <mergeCell ref="D1:D3"/>
    <mergeCell ref="E1:E3"/>
    <mergeCell ref="F1:F3"/>
    <mergeCell ref="G1:G3"/>
    <mergeCell ref="H1:H3"/>
    <mergeCell ref="I1:I3"/>
    <mergeCell ref="J1:J3"/>
    <mergeCell ref="A1:A3"/>
    <mergeCell ref="B1:B3"/>
    <mergeCell ref="C1:C3"/>
    <mergeCell ref="K1:K3"/>
    <mergeCell ref="L1:L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53C95-329E-460A-A959-220D77A1617F}">
  <dimension ref="A1:Q202"/>
  <sheetViews>
    <sheetView tabSelected="1" topLeftCell="F1" zoomScale="89" zoomScaleNormal="89" workbookViewId="0">
      <pane ySplit="3" topLeftCell="A4" activePane="bottomLeft" state="frozen"/>
      <selection pane="bottomLeft" activeCell="P4" sqref="P4"/>
    </sheetView>
  </sheetViews>
  <sheetFormatPr defaultRowHeight="14.5" x14ac:dyDescent="0.35"/>
  <cols>
    <col min="1" max="1" width="31.453125" bestFit="1" customWidth="1"/>
    <col min="2" max="2" width="11.453125" bestFit="1" customWidth="1"/>
    <col min="3" max="3" width="12.26953125" bestFit="1" customWidth="1"/>
    <col min="4" max="4" width="16.7265625" bestFit="1" customWidth="1"/>
    <col min="5" max="5" width="13.26953125" customWidth="1"/>
    <col min="6" max="6" width="14" customWidth="1"/>
    <col min="7" max="7" width="18.1796875" customWidth="1"/>
    <col min="8" max="8" width="16.26953125" customWidth="1"/>
    <col min="9" max="9" width="19.54296875" customWidth="1"/>
    <col min="10" max="10" width="13.453125" customWidth="1"/>
    <col min="11" max="11" width="14" bestFit="1" customWidth="1"/>
    <col min="12" max="12" width="17" customWidth="1"/>
    <col min="13" max="13" width="16.453125" customWidth="1"/>
    <col min="15" max="15" width="23" bestFit="1" customWidth="1"/>
    <col min="16" max="16" width="16.81640625" bestFit="1" customWidth="1"/>
  </cols>
  <sheetData>
    <row r="1" spans="1:16" ht="15" customHeight="1" x14ac:dyDescent="0.35">
      <c r="A1" s="9" t="s">
        <v>0</v>
      </c>
      <c r="B1" s="9" t="s">
        <v>1</v>
      </c>
      <c r="C1" s="9" t="s">
        <v>2</v>
      </c>
      <c r="D1" s="9" t="s">
        <v>3</v>
      </c>
      <c r="E1" s="11" t="s">
        <v>4</v>
      </c>
      <c r="F1" s="11" t="s">
        <v>245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O1" t="s">
        <v>12</v>
      </c>
      <c r="P1" s="1">
        <v>5</v>
      </c>
    </row>
    <row r="2" spans="1:16" ht="15" customHeight="1" x14ac:dyDescent="0.35">
      <c r="A2" s="9"/>
      <c r="B2" s="9"/>
      <c r="C2" s="9"/>
      <c r="D2" s="9"/>
      <c r="E2" s="11"/>
      <c r="F2" s="11"/>
      <c r="G2" s="11"/>
      <c r="H2" s="11"/>
      <c r="I2" s="11"/>
      <c r="J2" s="11"/>
      <c r="K2" s="11"/>
      <c r="L2" s="11"/>
      <c r="M2" s="11"/>
      <c r="O2" t="s">
        <v>11</v>
      </c>
      <c r="P2" s="1">
        <f>M201</f>
        <v>37533159.874062501</v>
      </c>
    </row>
    <row r="3" spans="1:16" ht="15.75" customHeight="1" thickBot="1" x14ac:dyDescent="0.4">
      <c r="A3" s="10"/>
      <c r="B3" s="10"/>
      <c r="C3" s="10"/>
      <c r="D3" s="10"/>
      <c r="E3" s="12"/>
      <c r="F3" s="12"/>
      <c r="G3" s="12"/>
      <c r="H3" s="12"/>
      <c r="I3" s="12"/>
      <c r="J3" s="12"/>
      <c r="K3" s="12"/>
      <c r="L3" s="12"/>
      <c r="M3" s="12"/>
      <c r="O3" t="s">
        <v>246</v>
      </c>
      <c r="P3" s="13">
        <f>(L201-I201)/L201</f>
        <v>0.33333333333333326</v>
      </c>
    </row>
    <row r="4" spans="1:16" x14ac:dyDescent="0.35">
      <c r="A4" t="s">
        <v>13</v>
      </c>
      <c r="B4" t="s">
        <v>14</v>
      </c>
      <c r="C4" t="s">
        <v>15</v>
      </c>
      <c r="D4" t="s">
        <v>16</v>
      </c>
      <c r="E4" s="1">
        <v>217.1575</v>
      </c>
      <c r="F4" s="2">
        <v>4652</v>
      </c>
      <c r="G4" s="14">
        <f>F4*E4</f>
        <v>1010216.69</v>
      </c>
      <c r="H4" s="14">
        <f>F4*$P$1</f>
        <v>23260</v>
      </c>
      <c r="I4" s="14">
        <f>G4+H4</f>
        <v>1033476.69</v>
      </c>
      <c r="J4" s="14">
        <f>(E4+$P$1)*1.5</f>
        <v>333.23624999999998</v>
      </c>
      <c r="K4" s="3">
        <f>F4</f>
        <v>4652</v>
      </c>
      <c r="L4" s="15">
        <f>K4*J4</f>
        <v>1550215.0349999999</v>
      </c>
      <c r="M4" s="14">
        <f>L4-I4</f>
        <v>516738.34499999997</v>
      </c>
    </row>
    <row r="5" spans="1:16" x14ac:dyDescent="0.35">
      <c r="A5" t="s">
        <v>17</v>
      </c>
      <c r="B5" t="s">
        <v>14</v>
      </c>
      <c r="C5" t="s">
        <v>18</v>
      </c>
      <c r="D5" t="s">
        <v>19</v>
      </c>
      <c r="E5" s="1">
        <v>3.0074999999999998</v>
      </c>
      <c r="F5" s="2">
        <v>3952.25</v>
      </c>
      <c r="G5" s="7">
        <f t="shared" ref="G5:G68" si="0">F5*E5</f>
        <v>11886.391874999999</v>
      </c>
      <c r="H5" s="7">
        <f t="shared" ref="H5:H68" si="1">F5*$P$1</f>
        <v>19761.25</v>
      </c>
      <c r="I5" s="7">
        <f t="shared" ref="I5:I68" si="2">G5+H5</f>
        <v>31647.641875000001</v>
      </c>
      <c r="J5" s="7">
        <f t="shared" ref="J5:J68" si="3">(E5+$P$1)*1.5</f>
        <v>12.01125</v>
      </c>
      <c r="K5" s="3">
        <f t="shared" ref="K5:K68" si="4">F5</f>
        <v>3952.25</v>
      </c>
      <c r="L5" s="1">
        <f t="shared" ref="L5:L68" si="5">K5*J5</f>
        <v>47471.462812500002</v>
      </c>
      <c r="M5" s="7">
        <f t="shared" ref="M5:M68" si="6">L5-I5</f>
        <v>15823.820937500001</v>
      </c>
    </row>
    <row r="6" spans="1:16" x14ac:dyDescent="0.35">
      <c r="A6" t="s">
        <v>17</v>
      </c>
      <c r="B6" t="s">
        <v>14</v>
      </c>
      <c r="C6" t="s">
        <v>18</v>
      </c>
      <c r="D6" t="s">
        <v>19</v>
      </c>
      <c r="E6" s="1">
        <v>3.47</v>
      </c>
      <c r="F6" s="2">
        <v>4580.5</v>
      </c>
      <c r="G6" s="7">
        <f t="shared" si="0"/>
        <v>15894.335000000001</v>
      </c>
      <c r="H6" s="7">
        <f t="shared" si="1"/>
        <v>22902.5</v>
      </c>
      <c r="I6" s="7">
        <f t="shared" si="2"/>
        <v>38796.834999999999</v>
      </c>
      <c r="J6" s="7">
        <f t="shared" si="3"/>
        <v>12.705000000000002</v>
      </c>
      <c r="K6" s="3">
        <f t="shared" si="4"/>
        <v>4580.5</v>
      </c>
      <c r="L6" s="1">
        <f t="shared" si="5"/>
        <v>58195.25250000001</v>
      </c>
      <c r="M6" s="7">
        <f t="shared" si="6"/>
        <v>19398.41750000001</v>
      </c>
    </row>
    <row r="7" spans="1:16" x14ac:dyDescent="0.35">
      <c r="A7" t="s">
        <v>17</v>
      </c>
      <c r="B7" t="s">
        <v>14</v>
      </c>
      <c r="C7" t="s">
        <v>18</v>
      </c>
      <c r="D7" t="s">
        <v>19</v>
      </c>
      <c r="E7" s="1">
        <v>3.2725</v>
      </c>
      <c r="F7" s="2">
        <v>4455.25</v>
      </c>
      <c r="G7" s="7">
        <f t="shared" si="0"/>
        <v>14579.805624999999</v>
      </c>
      <c r="H7" s="7">
        <f t="shared" si="1"/>
        <v>22276.25</v>
      </c>
      <c r="I7" s="7">
        <f t="shared" si="2"/>
        <v>36856.055625000001</v>
      </c>
      <c r="J7" s="7">
        <f t="shared" si="3"/>
        <v>12.408750000000001</v>
      </c>
      <c r="K7" s="3">
        <f t="shared" si="4"/>
        <v>4455.25</v>
      </c>
      <c r="L7" s="1">
        <f t="shared" si="5"/>
        <v>55284.083437500005</v>
      </c>
      <c r="M7" s="7">
        <f t="shared" si="6"/>
        <v>18428.027812500004</v>
      </c>
    </row>
    <row r="8" spans="1:16" x14ac:dyDescent="0.35">
      <c r="A8" t="s">
        <v>20</v>
      </c>
      <c r="B8" t="s">
        <v>14</v>
      </c>
      <c r="C8" t="s">
        <v>15</v>
      </c>
      <c r="D8" t="s">
        <v>16</v>
      </c>
      <c r="E8" s="1">
        <v>44.05</v>
      </c>
      <c r="F8" s="2">
        <v>4523.75</v>
      </c>
      <c r="G8" s="7">
        <f t="shared" si="0"/>
        <v>199271.1875</v>
      </c>
      <c r="H8" s="7">
        <f t="shared" si="1"/>
        <v>22618.75</v>
      </c>
      <c r="I8" s="7">
        <f t="shared" si="2"/>
        <v>221889.9375</v>
      </c>
      <c r="J8" s="7">
        <f t="shared" si="3"/>
        <v>73.574999999999989</v>
      </c>
      <c r="K8" s="3">
        <f t="shared" si="4"/>
        <v>4523.75</v>
      </c>
      <c r="L8" s="1">
        <f t="shared" si="5"/>
        <v>332834.90624999994</v>
      </c>
      <c r="M8" s="7">
        <f t="shared" si="6"/>
        <v>110944.96874999994</v>
      </c>
    </row>
    <row r="9" spans="1:16" x14ac:dyDescent="0.35">
      <c r="A9" t="s">
        <v>20</v>
      </c>
      <c r="B9" t="s">
        <v>14</v>
      </c>
      <c r="C9" t="s">
        <v>15</v>
      </c>
      <c r="D9" t="s">
        <v>16</v>
      </c>
      <c r="E9" s="1">
        <v>42.534999999999997</v>
      </c>
      <c r="F9" s="2">
        <v>3921</v>
      </c>
      <c r="G9" s="7">
        <f t="shared" si="0"/>
        <v>166779.73499999999</v>
      </c>
      <c r="H9" s="7">
        <f t="shared" si="1"/>
        <v>19605</v>
      </c>
      <c r="I9" s="7">
        <f t="shared" si="2"/>
        <v>186384.73499999999</v>
      </c>
      <c r="J9" s="7">
        <f t="shared" si="3"/>
        <v>71.302499999999995</v>
      </c>
      <c r="K9" s="3">
        <f t="shared" si="4"/>
        <v>3921</v>
      </c>
      <c r="L9" s="1">
        <f t="shared" si="5"/>
        <v>279577.10249999998</v>
      </c>
      <c r="M9" s="7">
        <f t="shared" si="6"/>
        <v>93192.367499999993</v>
      </c>
      <c r="N9" s="4"/>
    </row>
    <row r="10" spans="1:16" x14ac:dyDescent="0.35">
      <c r="A10" t="s">
        <v>20</v>
      </c>
      <c r="B10" t="s">
        <v>14</v>
      </c>
      <c r="C10" t="s">
        <v>15</v>
      </c>
      <c r="D10" t="s">
        <v>16</v>
      </c>
      <c r="E10" s="1">
        <v>51.157499999999999</v>
      </c>
      <c r="F10" s="2">
        <v>4975.25</v>
      </c>
      <c r="G10" s="7">
        <f t="shared" si="0"/>
        <v>254521.35187499999</v>
      </c>
      <c r="H10" s="7">
        <f t="shared" si="1"/>
        <v>24876.25</v>
      </c>
      <c r="I10" s="7">
        <f t="shared" si="2"/>
        <v>279397.60187499999</v>
      </c>
      <c r="J10" s="7">
        <f t="shared" si="3"/>
        <v>84.236249999999998</v>
      </c>
      <c r="K10" s="3">
        <f t="shared" si="4"/>
        <v>4975.25</v>
      </c>
      <c r="L10" s="1">
        <f t="shared" si="5"/>
        <v>419096.40281250002</v>
      </c>
      <c r="M10" s="7">
        <f t="shared" si="6"/>
        <v>139698.80093750003</v>
      </c>
    </row>
    <row r="11" spans="1:16" x14ac:dyDescent="0.35">
      <c r="A11" t="s">
        <v>21</v>
      </c>
      <c r="B11" t="s">
        <v>14</v>
      </c>
      <c r="C11" t="s">
        <v>15</v>
      </c>
      <c r="D11" t="s">
        <v>22</v>
      </c>
      <c r="E11" s="1">
        <v>154.25749999999999</v>
      </c>
      <c r="F11" s="2">
        <v>4602</v>
      </c>
      <c r="G11" s="7">
        <f t="shared" si="0"/>
        <v>709893.01500000001</v>
      </c>
      <c r="H11" s="7">
        <f t="shared" si="1"/>
        <v>23010</v>
      </c>
      <c r="I11" s="7">
        <f t="shared" si="2"/>
        <v>732903.01500000001</v>
      </c>
      <c r="J11" s="7">
        <f t="shared" si="3"/>
        <v>238.88624999999999</v>
      </c>
      <c r="K11" s="3">
        <f t="shared" si="4"/>
        <v>4602</v>
      </c>
      <c r="L11" s="1">
        <f t="shared" si="5"/>
        <v>1099354.5225</v>
      </c>
      <c r="M11" s="7">
        <f t="shared" si="6"/>
        <v>366451.50749999995</v>
      </c>
    </row>
    <row r="12" spans="1:16" x14ac:dyDescent="0.35">
      <c r="A12" t="s">
        <v>21</v>
      </c>
      <c r="B12" t="s">
        <v>14</v>
      </c>
      <c r="C12" t="s">
        <v>15</v>
      </c>
      <c r="D12" t="s">
        <v>22</v>
      </c>
      <c r="E12" s="1">
        <v>163.42500000000001</v>
      </c>
      <c r="F12" s="2">
        <v>4767</v>
      </c>
      <c r="G12" s="7">
        <f t="shared" si="0"/>
        <v>779046.97500000009</v>
      </c>
      <c r="H12" s="7">
        <f t="shared" si="1"/>
        <v>23835</v>
      </c>
      <c r="I12" s="7">
        <f t="shared" si="2"/>
        <v>802881.97500000009</v>
      </c>
      <c r="J12" s="7">
        <f t="shared" si="3"/>
        <v>252.63750000000002</v>
      </c>
      <c r="K12" s="3">
        <f t="shared" si="4"/>
        <v>4767</v>
      </c>
      <c r="L12" s="1">
        <f t="shared" si="5"/>
        <v>1204322.9625000001</v>
      </c>
      <c r="M12" s="7">
        <f t="shared" si="6"/>
        <v>401440.98750000005</v>
      </c>
    </row>
    <row r="13" spans="1:16" x14ac:dyDescent="0.35">
      <c r="A13" t="s">
        <v>21</v>
      </c>
      <c r="B13" t="s">
        <v>14</v>
      </c>
      <c r="C13" t="s">
        <v>15</v>
      </c>
      <c r="D13" t="s">
        <v>22</v>
      </c>
      <c r="E13" s="1">
        <v>184.76</v>
      </c>
      <c r="F13" s="2">
        <v>4921.5</v>
      </c>
      <c r="G13" s="7">
        <f t="shared" si="0"/>
        <v>909296.34</v>
      </c>
      <c r="H13" s="7">
        <f t="shared" si="1"/>
        <v>24607.5</v>
      </c>
      <c r="I13" s="7">
        <f t="shared" si="2"/>
        <v>933903.84</v>
      </c>
      <c r="J13" s="7">
        <f t="shared" si="3"/>
        <v>284.64</v>
      </c>
      <c r="K13" s="3">
        <f t="shared" si="4"/>
        <v>4921.5</v>
      </c>
      <c r="L13" s="1">
        <f t="shared" si="5"/>
        <v>1400855.76</v>
      </c>
      <c r="M13" s="7">
        <f t="shared" si="6"/>
        <v>466951.92000000004</v>
      </c>
    </row>
    <row r="14" spans="1:16" x14ac:dyDescent="0.35">
      <c r="A14" t="s">
        <v>23</v>
      </c>
      <c r="B14" t="s">
        <v>14</v>
      </c>
      <c r="C14" t="s">
        <v>24</v>
      </c>
      <c r="D14" t="s">
        <v>25</v>
      </c>
      <c r="E14" s="1">
        <v>103.28749999999999</v>
      </c>
      <c r="F14" s="2">
        <v>4186.5</v>
      </c>
      <c r="G14" s="7">
        <f t="shared" si="0"/>
        <v>432413.11874999997</v>
      </c>
      <c r="H14" s="7">
        <f t="shared" si="1"/>
        <v>20932.5</v>
      </c>
      <c r="I14" s="7">
        <f t="shared" si="2"/>
        <v>453345.61874999997</v>
      </c>
      <c r="J14" s="7">
        <f t="shared" si="3"/>
        <v>162.43124999999998</v>
      </c>
      <c r="K14" s="3">
        <f t="shared" si="4"/>
        <v>4186.5</v>
      </c>
      <c r="L14" s="1">
        <f t="shared" si="5"/>
        <v>680018.42812499986</v>
      </c>
      <c r="M14" s="7">
        <f t="shared" si="6"/>
        <v>226672.8093749999</v>
      </c>
    </row>
    <row r="15" spans="1:16" x14ac:dyDescent="0.35">
      <c r="A15" t="s">
        <v>23</v>
      </c>
      <c r="B15" t="s">
        <v>14</v>
      </c>
      <c r="C15" t="s">
        <v>24</v>
      </c>
      <c r="D15" t="s">
        <v>25</v>
      </c>
      <c r="E15" s="1">
        <v>121.67749999999999</v>
      </c>
      <c r="F15" s="2">
        <v>4174.25</v>
      </c>
      <c r="G15" s="7">
        <f t="shared" si="0"/>
        <v>507912.30437500001</v>
      </c>
      <c r="H15" s="7">
        <f t="shared" si="1"/>
        <v>20871.25</v>
      </c>
      <c r="I15" s="7">
        <f t="shared" si="2"/>
        <v>528783.55437500007</v>
      </c>
      <c r="J15" s="7">
        <f t="shared" si="3"/>
        <v>190.01624999999999</v>
      </c>
      <c r="K15" s="3">
        <f t="shared" si="4"/>
        <v>4174.25</v>
      </c>
      <c r="L15" s="1">
        <f t="shared" si="5"/>
        <v>793175.33156249998</v>
      </c>
      <c r="M15" s="7">
        <f t="shared" si="6"/>
        <v>264391.77718749992</v>
      </c>
    </row>
    <row r="16" spans="1:16" x14ac:dyDescent="0.35">
      <c r="A16" t="s">
        <v>26</v>
      </c>
      <c r="B16" t="s">
        <v>14</v>
      </c>
      <c r="C16" t="s">
        <v>24</v>
      </c>
      <c r="D16" t="s">
        <v>25</v>
      </c>
      <c r="E16" s="1">
        <v>103.28749999999999</v>
      </c>
      <c r="F16" s="2">
        <v>4573.75</v>
      </c>
      <c r="G16" s="7">
        <f t="shared" si="0"/>
        <v>472411.203125</v>
      </c>
      <c r="H16" s="7">
        <f t="shared" si="1"/>
        <v>22868.75</v>
      </c>
      <c r="I16" s="7">
        <f t="shared" si="2"/>
        <v>495279.953125</v>
      </c>
      <c r="J16" s="7">
        <f t="shared" si="3"/>
        <v>162.43124999999998</v>
      </c>
      <c r="K16" s="3">
        <f t="shared" si="4"/>
        <v>4573.75</v>
      </c>
      <c r="L16" s="1">
        <f t="shared" si="5"/>
        <v>742919.92968749988</v>
      </c>
      <c r="M16" s="7">
        <f t="shared" si="6"/>
        <v>247639.97656249988</v>
      </c>
    </row>
    <row r="17" spans="1:15" x14ac:dyDescent="0.35">
      <c r="A17" t="s">
        <v>26</v>
      </c>
      <c r="B17" t="s">
        <v>14</v>
      </c>
      <c r="C17" t="s">
        <v>24</v>
      </c>
      <c r="D17" t="s">
        <v>25</v>
      </c>
      <c r="E17" s="1">
        <v>121.67749999999999</v>
      </c>
      <c r="F17" s="2">
        <v>4411.25</v>
      </c>
      <c r="G17" s="7">
        <f t="shared" si="0"/>
        <v>536749.87187499995</v>
      </c>
      <c r="H17" s="7">
        <f t="shared" si="1"/>
        <v>22056.25</v>
      </c>
      <c r="I17" s="7">
        <f t="shared" si="2"/>
        <v>558806.12187499995</v>
      </c>
      <c r="J17" s="7">
        <f t="shared" si="3"/>
        <v>190.01624999999999</v>
      </c>
      <c r="K17" s="3">
        <f t="shared" si="4"/>
        <v>4411.25</v>
      </c>
      <c r="L17" s="1">
        <f t="shared" si="5"/>
        <v>838209.18281249993</v>
      </c>
      <c r="M17" s="7">
        <f t="shared" si="6"/>
        <v>279403.06093749998</v>
      </c>
    </row>
    <row r="18" spans="1:15" x14ac:dyDescent="0.35">
      <c r="A18" t="s">
        <v>27</v>
      </c>
      <c r="B18" t="s">
        <v>14</v>
      </c>
      <c r="C18" t="s">
        <v>24</v>
      </c>
      <c r="D18" t="s">
        <v>28</v>
      </c>
      <c r="E18" s="1">
        <v>474.52249999999998</v>
      </c>
      <c r="F18" s="2">
        <v>4250.25</v>
      </c>
      <c r="G18" s="7">
        <f t="shared" si="0"/>
        <v>2016839.255625</v>
      </c>
      <c r="H18" s="7">
        <f t="shared" si="1"/>
        <v>21251.25</v>
      </c>
      <c r="I18" s="7">
        <f t="shared" si="2"/>
        <v>2038090.505625</v>
      </c>
      <c r="J18" s="7">
        <f t="shared" si="3"/>
        <v>719.28374999999994</v>
      </c>
      <c r="K18" s="3">
        <f t="shared" si="4"/>
        <v>4250.25</v>
      </c>
      <c r="L18" s="1">
        <f t="shared" si="5"/>
        <v>3057135.7584374999</v>
      </c>
      <c r="M18" s="7">
        <f t="shared" si="6"/>
        <v>1019045.2528124999</v>
      </c>
    </row>
    <row r="19" spans="1:15" x14ac:dyDescent="0.35">
      <c r="A19" t="s">
        <v>29</v>
      </c>
      <c r="B19" t="s">
        <v>14</v>
      </c>
      <c r="C19" t="s">
        <v>24</v>
      </c>
      <c r="D19" t="s">
        <v>28</v>
      </c>
      <c r="E19" s="1">
        <v>474.52249999999998</v>
      </c>
      <c r="F19" s="2">
        <v>4522.25</v>
      </c>
      <c r="G19" s="7">
        <f t="shared" si="0"/>
        <v>2145909.3756249999</v>
      </c>
      <c r="H19" s="7">
        <f t="shared" si="1"/>
        <v>22611.25</v>
      </c>
      <c r="I19" s="7">
        <f t="shared" si="2"/>
        <v>2168520.6256249999</v>
      </c>
      <c r="J19" s="7">
        <f t="shared" si="3"/>
        <v>719.28374999999994</v>
      </c>
      <c r="K19" s="3">
        <f t="shared" si="4"/>
        <v>4522.25</v>
      </c>
      <c r="L19" s="1">
        <f t="shared" si="5"/>
        <v>3252780.9384374996</v>
      </c>
      <c r="M19" s="7">
        <f t="shared" si="6"/>
        <v>1084260.3128124997</v>
      </c>
    </row>
    <row r="20" spans="1:15" x14ac:dyDescent="0.35">
      <c r="A20" t="s">
        <v>30</v>
      </c>
      <c r="B20" t="s">
        <v>14</v>
      </c>
      <c r="C20" t="s">
        <v>24</v>
      </c>
      <c r="D20" t="s">
        <v>28</v>
      </c>
      <c r="E20" s="1">
        <v>474.52249999999998</v>
      </c>
      <c r="F20" s="2">
        <v>4188.25</v>
      </c>
      <c r="G20" s="7">
        <f t="shared" si="0"/>
        <v>1987418.860625</v>
      </c>
      <c r="H20" s="7">
        <f t="shared" si="1"/>
        <v>20941.25</v>
      </c>
      <c r="I20" s="7">
        <f t="shared" si="2"/>
        <v>2008360.110625</v>
      </c>
      <c r="J20" s="7">
        <f t="shared" si="3"/>
        <v>719.28374999999994</v>
      </c>
      <c r="K20" s="3">
        <f t="shared" si="4"/>
        <v>4188.25</v>
      </c>
      <c r="L20" s="1">
        <f t="shared" si="5"/>
        <v>3012540.1659374996</v>
      </c>
      <c r="M20" s="7">
        <f t="shared" si="6"/>
        <v>1004180.0553124996</v>
      </c>
    </row>
    <row r="21" spans="1:15" x14ac:dyDescent="0.35">
      <c r="A21" t="s">
        <v>31</v>
      </c>
      <c r="B21" t="s">
        <v>14</v>
      </c>
      <c r="C21" t="s">
        <v>24</v>
      </c>
      <c r="D21" t="s">
        <v>28</v>
      </c>
      <c r="E21" s="1">
        <v>474.52249999999998</v>
      </c>
      <c r="F21" s="2">
        <v>3981.75</v>
      </c>
      <c r="G21" s="7">
        <f t="shared" si="0"/>
        <v>1889429.964375</v>
      </c>
      <c r="H21" s="7">
        <f t="shared" si="1"/>
        <v>19908.75</v>
      </c>
      <c r="I21" s="7">
        <f t="shared" si="2"/>
        <v>1909338.714375</v>
      </c>
      <c r="J21" s="7">
        <f t="shared" si="3"/>
        <v>719.28374999999994</v>
      </c>
      <c r="K21" s="3">
        <f t="shared" si="4"/>
        <v>3981.75</v>
      </c>
      <c r="L21" s="1">
        <f t="shared" si="5"/>
        <v>2864008.0715624997</v>
      </c>
      <c r="M21" s="7">
        <f t="shared" si="6"/>
        <v>954669.35718749976</v>
      </c>
    </row>
    <row r="22" spans="1:15" x14ac:dyDescent="0.35">
      <c r="A22" t="s">
        <v>32</v>
      </c>
      <c r="B22" t="s">
        <v>14</v>
      </c>
      <c r="C22" t="s">
        <v>24</v>
      </c>
      <c r="D22" t="s">
        <v>28</v>
      </c>
      <c r="E22" s="1">
        <v>276.45249999999999</v>
      </c>
      <c r="F22" s="2">
        <v>4690</v>
      </c>
      <c r="G22" s="7">
        <f t="shared" si="0"/>
        <v>1296562.2249999999</v>
      </c>
      <c r="H22" s="7">
        <f t="shared" si="1"/>
        <v>23450</v>
      </c>
      <c r="I22" s="7">
        <f t="shared" si="2"/>
        <v>1320012.2249999999</v>
      </c>
      <c r="J22" s="7">
        <f t="shared" si="3"/>
        <v>422.17874999999998</v>
      </c>
      <c r="K22" s="3">
        <f t="shared" si="4"/>
        <v>4690</v>
      </c>
      <c r="L22" s="1">
        <f t="shared" si="5"/>
        <v>1980018.3374999999</v>
      </c>
      <c r="M22" s="7">
        <f t="shared" si="6"/>
        <v>660006.11250000005</v>
      </c>
      <c r="O22" s="6"/>
    </row>
    <row r="23" spans="1:15" x14ac:dyDescent="0.35">
      <c r="A23" t="s">
        <v>32</v>
      </c>
      <c r="B23" t="s">
        <v>14</v>
      </c>
      <c r="C23" t="s">
        <v>24</v>
      </c>
      <c r="D23" t="s">
        <v>28</v>
      </c>
      <c r="E23" s="1">
        <v>312.995</v>
      </c>
      <c r="F23" s="2">
        <v>3997.75</v>
      </c>
      <c r="G23" s="7">
        <f t="shared" si="0"/>
        <v>1251275.76125</v>
      </c>
      <c r="H23" s="7">
        <f t="shared" si="1"/>
        <v>19988.75</v>
      </c>
      <c r="I23" s="7">
        <f t="shared" si="2"/>
        <v>1271264.51125</v>
      </c>
      <c r="J23" s="7">
        <f t="shared" si="3"/>
        <v>476.99250000000001</v>
      </c>
      <c r="K23" s="3">
        <f t="shared" si="4"/>
        <v>3997.75</v>
      </c>
      <c r="L23" s="1">
        <f t="shared" si="5"/>
        <v>1906896.766875</v>
      </c>
      <c r="M23" s="7">
        <f t="shared" si="6"/>
        <v>635632.25562499999</v>
      </c>
    </row>
    <row r="24" spans="1:15" x14ac:dyDescent="0.35">
      <c r="A24" t="s">
        <v>33</v>
      </c>
      <c r="B24" t="s">
        <v>14</v>
      </c>
      <c r="C24" t="s">
        <v>24</v>
      </c>
      <c r="D24" t="s">
        <v>25</v>
      </c>
      <c r="E24" s="1">
        <v>330.17</v>
      </c>
      <c r="F24" s="2">
        <v>4428.75</v>
      </c>
      <c r="G24" s="7">
        <f t="shared" si="0"/>
        <v>1462240.3875000002</v>
      </c>
      <c r="H24" s="7">
        <f t="shared" si="1"/>
        <v>22143.75</v>
      </c>
      <c r="I24" s="7">
        <f t="shared" si="2"/>
        <v>1484384.1375000002</v>
      </c>
      <c r="J24" s="7">
        <f t="shared" si="3"/>
        <v>502.755</v>
      </c>
      <c r="K24" s="3">
        <f t="shared" si="4"/>
        <v>4428.75</v>
      </c>
      <c r="L24" s="1">
        <f t="shared" si="5"/>
        <v>2226576.2062499998</v>
      </c>
      <c r="M24" s="7">
        <f t="shared" si="6"/>
        <v>742192.06874999963</v>
      </c>
    </row>
    <row r="25" spans="1:15" x14ac:dyDescent="0.35">
      <c r="A25" t="s">
        <v>34</v>
      </c>
      <c r="B25" t="s">
        <v>14</v>
      </c>
      <c r="C25" t="s">
        <v>24</v>
      </c>
      <c r="D25" t="s">
        <v>25</v>
      </c>
      <c r="E25" s="1">
        <v>330.17</v>
      </c>
      <c r="F25" s="2">
        <v>3995.5</v>
      </c>
      <c r="G25" s="7">
        <f t="shared" si="0"/>
        <v>1319194.2350000001</v>
      </c>
      <c r="H25" s="7">
        <f t="shared" si="1"/>
        <v>19977.5</v>
      </c>
      <c r="I25" s="7">
        <f t="shared" si="2"/>
        <v>1339171.7350000001</v>
      </c>
      <c r="J25" s="7">
        <f t="shared" si="3"/>
        <v>502.755</v>
      </c>
      <c r="K25" s="3">
        <f t="shared" si="4"/>
        <v>3995.5</v>
      </c>
      <c r="L25" s="1">
        <f t="shared" si="5"/>
        <v>2008757.6025</v>
      </c>
      <c r="M25" s="7">
        <f t="shared" si="6"/>
        <v>669585.86749999993</v>
      </c>
    </row>
    <row r="26" spans="1:15" x14ac:dyDescent="0.35">
      <c r="A26" t="s">
        <v>35</v>
      </c>
      <c r="B26" t="s">
        <v>14</v>
      </c>
      <c r="C26" t="s">
        <v>15</v>
      </c>
      <c r="D26" t="s">
        <v>22</v>
      </c>
      <c r="E26" s="1">
        <v>46.454999999999998</v>
      </c>
      <c r="F26" s="2">
        <v>4210.75</v>
      </c>
      <c r="G26" s="7">
        <f t="shared" si="0"/>
        <v>195610.39124999999</v>
      </c>
      <c r="H26" s="7">
        <f t="shared" si="1"/>
        <v>21053.75</v>
      </c>
      <c r="I26" s="7">
        <f t="shared" si="2"/>
        <v>216664.14124999999</v>
      </c>
      <c r="J26" s="7">
        <f t="shared" si="3"/>
        <v>77.182500000000005</v>
      </c>
      <c r="K26" s="3">
        <f t="shared" si="4"/>
        <v>4210.75</v>
      </c>
      <c r="L26" s="1">
        <f t="shared" si="5"/>
        <v>324996.21187500004</v>
      </c>
      <c r="M26" s="7">
        <f t="shared" si="6"/>
        <v>108332.07062500005</v>
      </c>
    </row>
    <row r="27" spans="1:15" x14ac:dyDescent="0.35">
      <c r="A27" t="s">
        <v>36</v>
      </c>
      <c r="B27" t="s">
        <v>14</v>
      </c>
      <c r="C27" t="s">
        <v>15</v>
      </c>
      <c r="D27" t="s">
        <v>37</v>
      </c>
      <c r="E27" s="1">
        <v>6.7424999999999997</v>
      </c>
      <c r="F27" s="2">
        <v>4178</v>
      </c>
      <c r="G27" s="7">
        <f t="shared" si="0"/>
        <v>28170.164999999997</v>
      </c>
      <c r="H27" s="7">
        <f t="shared" si="1"/>
        <v>20890</v>
      </c>
      <c r="I27" s="7">
        <f t="shared" si="2"/>
        <v>49060.164999999994</v>
      </c>
      <c r="J27" s="7">
        <f t="shared" si="3"/>
        <v>17.61375</v>
      </c>
      <c r="K27" s="3">
        <f t="shared" si="4"/>
        <v>4178</v>
      </c>
      <c r="L27" s="1">
        <f t="shared" si="5"/>
        <v>73590.247499999998</v>
      </c>
      <c r="M27" s="7">
        <f t="shared" si="6"/>
        <v>24530.082500000004</v>
      </c>
    </row>
    <row r="28" spans="1:15" x14ac:dyDescent="0.35">
      <c r="A28" t="s">
        <v>38</v>
      </c>
      <c r="B28" t="s">
        <v>14</v>
      </c>
      <c r="C28" t="s">
        <v>15</v>
      </c>
      <c r="D28" t="s">
        <v>37</v>
      </c>
      <c r="E28" s="1">
        <v>23.202500000000001</v>
      </c>
      <c r="F28" s="2">
        <v>3779</v>
      </c>
      <c r="G28" s="7">
        <f t="shared" si="0"/>
        <v>87682.247499999998</v>
      </c>
      <c r="H28" s="7">
        <f t="shared" si="1"/>
        <v>18895</v>
      </c>
      <c r="I28" s="7">
        <f t="shared" si="2"/>
        <v>106577.2475</v>
      </c>
      <c r="J28" s="7">
        <f t="shared" si="3"/>
        <v>42.303750000000001</v>
      </c>
      <c r="K28" s="3">
        <f t="shared" si="4"/>
        <v>3779</v>
      </c>
      <c r="L28" s="1">
        <f t="shared" si="5"/>
        <v>159865.87125</v>
      </c>
      <c r="M28" s="7">
        <f t="shared" si="6"/>
        <v>53288.623749999999</v>
      </c>
    </row>
    <row r="29" spans="1:15" x14ac:dyDescent="0.35">
      <c r="A29" t="s">
        <v>39</v>
      </c>
      <c r="B29" t="s">
        <v>14</v>
      </c>
      <c r="C29" t="s">
        <v>15</v>
      </c>
      <c r="D29" t="s">
        <v>37</v>
      </c>
      <c r="E29" s="1">
        <v>33.325000000000003</v>
      </c>
      <c r="F29" s="2">
        <v>4019.25</v>
      </c>
      <c r="G29" s="7">
        <f t="shared" si="0"/>
        <v>133941.50625000001</v>
      </c>
      <c r="H29" s="7">
        <f t="shared" si="1"/>
        <v>20096.25</v>
      </c>
      <c r="I29" s="7">
        <f t="shared" si="2"/>
        <v>154037.75625000001</v>
      </c>
      <c r="J29" s="7">
        <f t="shared" si="3"/>
        <v>57.487500000000004</v>
      </c>
      <c r="K29" s="3">
        <f t="shared" si="4"/>
        <v>4019.25</v>
      </c>
      <c r="L29" s="1">
        <f t="shared" si="5"/>
        <v>231056.63437500002</v>
      </c>
      <c r="M29" s="7">
        <f t="shared" si="6"/>
        <v>77018.878125000017</v>
      </c>
    </row>
    <row r="30" spans="1:15" x14ac:dyDescent="0.35">
      <c r="A30" t="s">
        <v>40</v>
      </c>
      <c r="B30" t="s">
        <v>14</v>
      </c>
      <c r="C30" t="s">
        <v>15</v>
      </c>
      <c r="D30" t="s">
        <v>37</v>
      </c>
      <c r="E30" s="1">
        <v>9.74</v>
      </c>
      <c r="F30" s="2">
        <v>4449.75</v>
      </c>
      <c r="G30" s="7">
        <f t="shared" si="0"/>
        <v>43340.565000000002</v>
      </c>
      <c r="H30" s="7">
        <f t="shared" si="1"/>
        <v>22248.75</v>
      </c>
      <c r="I30" s="7">
        <f t="shared" si="2"/>
        <v>65589.315000000002</v>
      </c>
      <c r="J30" s="7">
        <f t="shared" si="3"/>
        <v>22.11</v>
      </c>
      <c r="K30" s="3">
        <f t="shared" si="4"/>
        <v>4449.75</v>
      </c>
      <c r="L30" s="1">
        <f t="shared" si="5"/>
        <v>98383.972500000003</v>
      </c>
      <c r="M30" s="7">
        <f t="shared" si="6"/>
        <v>32794.657500000001</v>
      </c>
    </row>
    <row r="31" spans="1:15" x14ac:dyDescent="0.35">
      <c r="A31" t="s">
        <v>41</v>
      </c>
      <c r="B31" t="s">
        <v>14</v>
      </c>
      <c r="C31" t="s">
        <v>15</v>
      </c>
      <c r="D31" t="s">
        <v>37</v>
      </c>
      <c r="E31" s="1">
        <v>26.2</v>
      </c>
      <c r="F31" s="2">
        <v>4888.25</v>
      </c>
      <c r="G31" s="7">
        <f t="shared" si="0"/>
        <v>128072.15</v>
      </c>
      <c r="H31" s="7">
        <f t="shared" si="1"/>
        <v>24441.25</v>
      </c>
      <c r="I31" s="7">
        <f t="shared" si="2"/>
        <v>152513.4</v>
      </c>
      <c r="J31" s="7">
        <f t="shared" si="3"/>
        <v>46.8</v>
      </c>
      <c r="K31" s="3">
        <f t="shared" si="4"/>
        <v>4888.25</v>
      </c>
      <c r="L31" s="1">
        <f t="shared" si="5"/>
        <v>228770.09999999998</v>
      </c>
      <c r="M31" s="7">
        <f t="shared" si="6"/>
        <v>76256.699999999983</v>
      </c>
    </row>
    <row r="32" spans="1:15" x14ac:dyDescent="0.35">
      <c r="A32" t="s">
        <v>42</v>
      </c>
      <c r="B32" t="s">
        <v>14</v>
      </c>
      <c r="C32" t="s">
        <v>15</v>
      </c>
      <c r="D32" t="s">
        <v>37</v>
      </c>
      <c r="E32" s="1">
        <v>36.32</v>
      </c>
      <c r="F32" s="2">
        <v>3775.25</v>
      </c>
      <c r="G32" s="7">
        <f t="shared" si="0"/>
        <v>137117.07999999999</v>
      </c>
      <c r="H32" s="7">
        <f t="shared" si="1"/>
        <v>18876.25</v>
      </c>
      <c r="I32" s="7">
        <f t="shared" si="2"/>
        <v>155993.32999999999</v>
      </c>
      <c r="J32" s="7">
        <f t="shared" si="3"/>
        <v>61.980000000000004</v>
      </c>
      <c r="K32" s="3">
        <f t="shared" si="4"/>
        <v>3775.25</v>
      </c>
      <c r="L32" s="1">
        <f t="shared" si="5"/>
        <v>233989.99500000002</v>
      </c>
      <c r="M32" s="7">
        <f t="shared" si="6"/>
        <v>77996.665000000037</v>
      </c>
    </row>
    <row r="33" spans="1:13" x14ac:dyDescent="0.35">
      <c r="A33" t="s">
        <v>43</v>
      </c>
      <c r="B33" t="s">
        <v>14</v>
      </c>
      <c r="C33" t="s">
        <v>15</v>
      </c>
      <c r="D33" t="s">
        <v>37</v>
      </c>
      <c r="E33" s="1">
        <v>12.494999999999999</v>
      </c>
      <c r="F33" s="2">
        <v>4887</v>
      </c>
      <c r="G33" s="7">
        <f t="shared" si="0"/>
        <v>61063.064999999995</v>
      </c>
      <c r="H33" s="7">
        <f t="shared" si="1"/>
        <v>24435</v>
      </c>
      <c r="I33" s="7">
        <f t="shared" si="2"/>
        <v>85498.065000000002</v>
      </c>
      <c r="J33" s="7">
        <f t="shared" si="3"/>
        <v>26.242499999999996</v>
      </c>
      <c r="K33" s="3">
        <f t="shared" si="4"/>
        <v>4887</v>
      </c>
      <c r="L33" s="1">
        <f t="shared" si="5"/>
        <v>128247.09749999997</v>
      </c>
      <c r="M33" s="7">
        <f t="shared" si="6"/>
        <v>42749.032499999972</v>
      </c>
    </row>
    <row r="34" spans="1:13" x14ac:dyDescent="0.35">
      <c r="A34" t="s">
        <v>44</v>
      </c>
      <c r="B34" t="s">
        <v>14</v>
      </c>
      <c r="C34" t="s">
        <v>15</v>
      </c>
      <c r="D34" t="s">
        <v>22</v>
      </c>
      <c r="E34" s="1">
        <v>46.454999999999998</v>
      </c>
      <c r="F34" s="2">
        <v>4725.25</v>
      </c>
      <c r="G34" s="7">
        <f t="shared" si="0"/>
        <v>219511.48874999999</v>
      </c>
      <c r="H34" s="7">
        <f t="shared" si="1"/>
        <v>23626.25</v>
      </c>
      <c r="I34" s="7">
        <f t="shared" si="2"/>
        <v>243137.73874999999</v>
      </c>
      <c r="J34" s="7">
        <f t="shared" si="3"/>
        <v>77.182500000000005</v>
      </c>
      <c r="K34" s="3">
        <f t="shared" si="4"/>
        <v>4725.25</v>
      </c>
      <c r="L34" s="1">
        <f t="shared" si="5"/>
        <v>364706.60812500003</v>
      </c>
      <c r="M34" s="7">
        <f t="shared" si="6"/>
        <v>121568.86937500004</v>
      </c>
    </row>
    <row r="35" spans="1:13" x14ac:dyDescent="0.35">
      <c r="A35" t="s">
        <v>45</v>
      </c>
      <c r="B35" t="s">
        <v>14</v>
      </c>
      <c r="C35" t="s">
        <v>15</v>
      </c>
      <c r="D35" t="s">
        <v>22</v>
      </c>
      <c r="E35" s="1">
        <v>46.454999999999998</v>
      </c>
      <c r="F35" s="2">
        <v>4326.25</v>
      </c>
      <c r="G35" s="7">
        <f t="shared" si="0"/>
        <v>200975.94375000001</v>
      </c>
      <c r="H35" s="7">
        <f t="shared" si="1"/>
        <v>21631.25</v>
      </c>
      <c r="I35" s="7">
        <f t="shared" si="2"/>
        <v>222607.19375000001</v>
      </c>
      <c r="J35" s="7">
        <f t="shared" si="3"/>
        <v>77.182500000000005</v>
      </c>
      <c r="K35" s="3">
        <f t="shared" si="4"/>
        <v>4326.25</v>
      </c>
      <c r="L35" s="1">
        <f t="shared" si="5"/>
        <v>333910.79062500002</v>
      </c>
      <c r="M35" s="7">
        <f t="shared" si="6"/>
        <v>111303.59687500002</v>
      </c>
    </row>
    <row r="36" spans="1:13" x14ac:dyDescent="0.35">
      <c r="A36" t="s">
        <v>46</v>
      </c>
      <c r="B36" t="s">
        <v>14</v>
      </c>
      <c r="C36" t="s">
        <v>15</v>
      </c>
      <c r="D36" t="s">
        <v>22</v>
      </c>
      <c r="E36" s="1">
        <v>46.454999999999998</v>
      </c>
      <c r="F36" s="2">
        <v>3953.5</v>
      </c>
      <c r="G36" s="7">
        <f t="shared" si="0"/>
        <v>183659.8425</v>
      </c>
      <c r="H36" s="7">
        <f t="shared" si="1"/>
        <v>19767.5</v>
      </c>
      <c r="I36" s="7">
        <f t="shared" si="2"/>
        <v>203427.3425</v>
      </c>
      <c r="J36" s="7">
        <f t="shared" si="3"/>
        <v>77.182500000000005</v>
      </c>
      <c r="K36" s="3">
        <f t="shared" si="4"/>
        <v>3953.5</v>
      </c>
      <c r="L36" s="1">
        <f t="shared" si="5"/>
        <v>305141.01375000004</v>
      </c>
      <c r="M36" s="7">
        <f t="shared" si="6"/>
        <v>101713.67125000004</v>
      </c>
    </row>
    <row r="37" spans="1:13" x14ac:dyDescent="0.35">
      <c r="A37" t="s">
        <v>47</v>
      </c>
      <c r="B37" t="s">
        <v>14</v>
      </c>
      <c r="C37" t="s">
        <v>15</v>
      </c>
      <c r="D37" t="s">
        <v>16</v>
      </c>
      <c r="E37" s="1">
        <v>180.565</v>
      </c>
      <c r="F37" s="2">
        <v>4226.5</v>
      </c>
      <c r="G37" s="7">
        <f t="shared" si="0"/>
        <v>763157.97250000003</v>
      </c>
      <c r="H37" s="7">
        <f t="shared" si="1"/>
        <v>21132.5</v>
      </c>
      <c r="I37" s="7">
        <f t="shared" si="2"/>
        <v>784290.47250000003</v>
      </c>
      <c r="J37" s="7">
        <f t="shared" si="3"/>
        <v>278.34749999999997</v>
      </c>
      <c r="K37" s="3">
        <f t="shared" si="4"/>
        <v>4226.5</v>
      </c>
      <c r="L37" s="1">
        <f t="shared" si="5"/>
        <v>1176435.7087499998</v>
      </c>
      <c r="M37" s="7">
        <f t="shared" si="6"/>
        <v>392145.23624999973</v>
      </c>
    </row>
    <row r="38" spans="1:13" x14ac:dyDescent="0.35">
      <c r="A38" t="s">
        <v>48</v>
      </c>
      <c r="B38" t="s">
        <v>14</v>
      </c>
      <c r="C38" t="s">
        <v>15</v>
      </c>
      <c r="D38" t="s">
        <v>16</v>
      </c>
      <c r="E38" s="1">
        <v>217.1575</v>
      </c>
      <c r="F38" s="2">
        <v>4217.25</v>
      </c>
      <c r="G38" s="7">
        <f t="shared" si="0"/>
        <v>915807.46687500004</v>
      </c>
      <c r="H38" s="7">
        <f t="shared" si="1"/>
        <v>21086.25</v>
      </c>
      <c r="I38" s="7">
        <f t="shared" si="2"/>
        <v>936893.71687500004</v>
      </c>
      <c r="J38" s="7">
        <f t="shared" si="3"/>
        <v>333.23624999999998</v>
      </c>
      <c r="K38" s="3">
        <f t="shared" si="4"/>
        <v>4217.25</v>
      </c>
      <c r="L38" s="1">
        <f t="shared" si="5"/>
        <v>1405340.5753124999</v>
      </c>
      <c r="M38" s="7">
        <f t="shared" si="6"/>
        <v>468446.85843749985</v>
      </c>
    </row>
    <row r="39" spans="1:13" x14ac:dyDescent="0.35">
      <c r="A39" t="s">
        <v>48</v>
      </c>
      <c r="B39" t="s">
        <v>14</v>
      </c>
      <c r="C39" t="s">
        <v>15</v>
      </c>
      <c r="D39" t="s">
        <v>16</v>
      </c>
      <c r="E39" s="1">
        <v>217.1575</v>
      </c>
      <c r="F39" s="2">
        <v>4117.75</v>
      </c>
      <c r="G39" s="7">
        <f t="shared" si="0"/>
        <v>894200.29562500003</v>
      </c>
      <c r="H39" s="7">
        <f t="shared" si="1"/>
        <v>20588.75</v>
      </c>
      <c r="I39" s="7">
        <f t="shared" si="2"/>
        <v>914789.04562500003</v>
      </c>
      <c r="J39" s="7">
        <f t="shared" si="3"/>
        <v>333.23624999999998</v>
      </c>
      <c r="K39" s="3">
        <f t="shared" si="4"/>
        <v>4117.75</v>
      </c>
      <c r="L39" s="1">
        <f t="shared" si="5"/>
        <v>1372183.5684374999</v>
      </c>
      <c r="M39" s="7">
        <f t="shared" si="6"/>
        <v>457394.5228124999</v>
      </c>
    </row>
    <row r="40" spans="1:13" x14ac:dyDescent="0.35">
      <c r="A40" t="s">
        <v>49</v>
      </c>
      <c r="B40" t="s">
        <v>14</v>
      </c>
      <c r="C40" t="s">
        <v>15</v>
      </c>
      <c r="D40" t="s">
        <v>16</v>
      </c>
      <c r="E40" s="1">
        <v>180.565</v>
      </c>
      <c r="F40" s="2">
        <v>3940.5</v>
      </c>
      <c r="G40" s="7">
        <f t="shared" si="0"/>
        <v>711516.38249999995</v>
      </c>
      <c r="H40" s="7">
        <f t="shared" si="1"/>
        <v>19702.5</v>
      </c>
      <c r="I40" s="7">
        <f t="shared" si="2"/>
        <v>731218.88249999995</v>
      </c>
      <c r="J40" s="7">
        <f t="shared" si="3"/>
        <v>278.34749999999997</v>
      </c>
      <c r="K40" s="3">
        <f t="shared" si="4"/>
        <v>3940.5</v>
      </c>
      <c r="L40" s="1">
        <f t="shared" si="5"/>
        <v>1096828.32375</v>
      </c>
      <c r="M40" s="7">
        <f t="shared" si="6"/>
        <v>365609.44125000003</v>
      </c>
    </row>
    <row r="41" spans="1:13" x14ac:dyDescent="0.35">
      <c r="A41" t="s">
        <v>50</v>
      </c>
      <c r="B41" t="s">
        <v>14</v>
      </c>
      <c r="C41" t="s">
        <v>15</v>
      </c>
      <c r="D41" t="s">
        <v>16</v>
      </c>
      <c r="E41" s="1">
        <v>180.565</v>
      </c>
      <c r="F41" s="2">
        <v>3801</v>
      </c>
      <c r="G41" s="7">
        <f t="shared" si="0"/>
        <v>686327.56499999994</v>
      </c>
      <c r="H41" s="7">
        <f t="shared" si="1"/>
        <v>19005</v>
      </c>
      <c r="I41" s="7">
        <f t="shared" si="2"/>
        <v>705332.56499999994</v>
      </c>
      <c r="J41" s="7">
        <f t="shared" si="3"/>
        <v>278.34749999999997</v>
      </c>
      <c r="K41" s="3">
        <f t="shared" si="4"/>
        <v>3801</v>
      </c>
      <c r="L41" s="1">
        <f t="shared" si="5"/>
        <v>1057998.8474999999</v>
      </c>
      <c r="M41" s="7">
        <f t="shared" si="6"/>
        <v>352666.28249999997</v>
      </c>
    </row>
    <row r="42" spans="1:13" x14ac:dyDescent="0.35">
      <c r="A42" t="s">
        <v>51</v>
      </c>
      <c r="B42" t="s">
        <v>14</v>
      </c>
      <c r="C42" t="s">
        <v>52</v>
      </c>
      <c r="D42" t="s">
        <v>53</v>
      </c>
      <c r="E42" s="1">
        <v>6.1875</v>
      </c>
      <c r="F42" s="2">
        <v>3766.25</v>
      </c>
      <c r="G42" s="7">
        <f t="shared" si="0"/>
        <v>23303.671875</v>
      </c>
      <c r="H42" s="7">
        <f t="shared" si="1"/>
        <v>18831.25</v>
      </c>
      <c r="I42" s="7">
        <f t="shared" si="2"/>
        <v>42134.921875</v>
      </c>
      <c r="J42" s="7">
        <f t="shared" si="3"/>
        <v>16.78125</v>
      </c>
      <c r="K42" s="3">
        <f t="shared" si="4"/>
        <v>3766.25</v>
      </c>
      <c r="L42" s="1">
        <f t="shared" si="5"/>
        <v>63202.3828125</v>
      </c>
      <c r="M42" s="7">
        <f t="shared" si="6"/>
        <v>21067.4609375</v>
      </c>
    </row>
    <row r="43" spans="1:13" x14ac:dyDescent="0.35">
      <c r="A43" t="s">
        <v>54</v>
      </c>
      <c r="B43" t="s">
        <v>14</v>
      </c>
      <c r="C43" t="s">
        <v>52</v>
      </c>
      <c r="D43" t="s">
        <v>53</v>
      </c>
      <c r="E43" s="1">
        <v>6.1875</v>
      </c>
      <c r="F43" s="2">
        <v>4846.5</v>
      </c>
      <c r="G43" s="7">
        <f t="shared" si="0"/>
        <v>29987.71875</v>
      </c>
      <c r="H43" s="7">
        <f t="shared" si="1"/>
        <v>24232.5</v>
      </c>
      <c r="I43" s="7">
        <f t="shared" si="2"/>
        <v>54220.21875</v>
      </c>
      <c r="J43" s="7">
        <f t="shared" si="3"/>
        <v>16.78125</v>
      </c>
      <c r="K43" s="3">
        <f t="shared" si="4"/>
        <v>4846.5</v>
      </c>
      <c r="L43" s="1">
        <f t="shared" si="5"/>
        <v>81330.328125</v>
      </c>
      <c r="M43" s="7">
        <f t="shared" si="6"/>
        <v>27110.109375</v>
      </c>
    </row>
    <row r="44" spans="1:13" x14ac:dyDescent="0.35">
      <c r="A44" t="s">
        <v>55</v>
      </c>
      <c r="B44" t="s">
        <v>14</v>
      </c>
      <c r="C44" t="s">
        <v>52</v>
      </c>
      <c r="D44" t="s">
        <v>53</v>
      </c>
      <c r="E44" s="1">
        <v>6.1875</v>
      </c>
      <c r="F44" s="2">
        <v>4564.75</v>
      </c>
      <c r="G44" s="7">
        <f t="shared" si="0"/>
        <v>28244.390625</v>
      </c>
      <c r="H44" s="7">
        <f t="shared" si="1"/>
        <v>22823.75</v>
      </c>
      <c r="I44" s="7">
        <f t="shared" si="2"/>
        <v>51068.140625</v>
      </c>
      <c r="J44" s="7">
        <f t="shared" si="3"/>
        <v>16.78125</v>
      </c>
      <c r="K44" s="3">
        <f t="shared" si="4"/>
        <v>4564.75</v>
      </c>
      <c r="L44" s="1">
        <f t="shared" si="5"/>
        <v>76602.2109375</v>
      </c>
      <c r="M44" s="7">
        <f t="shared" si="6"/>
        <v>25534.0703125</v>
      </c>
    </row>
    <row r="45" spans="1:13" x14ac:dyDescent="0.35">
      <c r="A45" t="s">
        <v>56</v>
      </c>
      <c r="B45" t="s">
        <v>14</v>
      </c>
      <c r="C45" t="s">
        <v>52</v>
      </c>
      <c r="D45" t="s">
        <v>53</v>
      </c>
      <c r="E45" s="1">
        <v>6.1875</v>
      </c>
      <c r="F45" s="2">
        <v>4899.75</v>
      </c>
      <c r="G45" s="7">
        <f t="shared" si="0"/>
        <v>30317.203125</v>
      </c>
      <c r="H45" s="7">
        <f t="shared" si="1"/>
        <v>24498.75</v>
      </c>
      <c r="I45" s="7">
        <f t="shared" si="2"/>
        <v>54815.953125</v>
      </c>
      <c r="J45" s="7">
        <f t="shared" si="3"/>
        <v>16.78125</v>
      </c>
      <c r="K45" s="3">
        <f t="shared" si="4"/>
        <v>4899.75</v>
      </c>
      <c r="L45" s="1">
        <f t="shared" si="5"/>
        <v>82223.9296875</v>
      </c>
      <c r="M45" s="7">
        <f t="shared" si="6"/>
        <v>27407.9765625</v>
      </c>
    </row>
    <row r="46" spans="1:13" x14ac:dyDescent="0.35">
      <c r="A46" t="s">
        <v>57</v>
      </c>
      <c r="B46" t="s">
        <v>14</v>
      </c>
      <c r="C46" t="s">
        <v>52</v>
      </c>
      <c r="D46" t="s">
        <v>58</v>
      </c>
      <c r="E46" s="1">
        <v>7.7324999999999999</v>
      </c>
      <c r="F46" s="2">
        <v>4096.25</v>
      </c>
      <c r="G46" s="7">
        <f t="shared" si="0"/>
        <v>31674.253124999999</v>
      </c>
      <c r="H46" s="7">
        <f t="shared" si="1"/>
        <v>20481.25</v>
      </c>
      <c r="I46" s="7">
        <f t="shared" si="2"/>
        <v>52155.503125000003</v>
      </c>
      <c r="J46" s="7">
        <f t="shared" si="3"/>
        <v>19.098749999999999</v>
      </c>
      <c r="K46" s="3">
        <f t="shared" si="4"/>
        <v>4096.25</v>
      </c>
      <c r="L46" s="1">
        <f t="shared" si="5"/>
        <v>78233.254687499997</v>
      </c>
      <c r="M46" s="7">
        <f t="shared" si="6"/>
        <v>26077.751562499994</v>
      </c>
    </row>
    <row r="47" spans="1:13" x14ac:dyDescent="0.35">
      <c r="A47" t="s">
        <v>59</v>
      </c>
      <c r="B47" t="s">
        <v>14</v>
      </c>
      <c r="C47" t="s">
        <v>52</v>
      </c>
      <c r="D47" t="s">
        <v>58</v>
      </c>
      <c r="E47" s="1">
        <v>7.7324999999999999</v>
      </c>
      <c r="F47" s="2">
        <v>4189.5</v>
      </c>
      <c r="G47" s="7">
        <f t="shared" si="0"/>
        <v>32395.30875</v>
      </c>
      <c r="H47" s="7">
        <f t="shared" si="1"/>
        <v>20947.5</v>
      </c>
      <c r="I47" s="7">
        <f t="shared" si="2"/>
        <v>53342.808749999997</v>
      </c>
      <c r="J47" s="7">
        <f t="shared" si="3"/>
        <v>19.098749999999999</v>
      </c>
      <c r="K47" s="3">
        <f t="shared" si="4"/>
        <v>4189.5</v>
      </c>
      <c r="L47" s="1">
        <f t="shared" si="5"/>
        <v>80014.213124999995</v>
      </c>
      <c r="M47" s="7">
        <f t="shared" si="6"/>
        <v>26671.404374999998</v>
      </c>
    </row>
    <row r="48" spans="1:13" x14ac:dyDescent="0.35">
      <c r="A48" t="s">
        <v>60</v>
      </c>
      <c r="B48" t="s">
        <v>14</v>
      </c>
      <c r="C48" t="s">
        <v>52</v>
      </c>
      <c r="D48" t="s">
        <v>58</v>
      </c>
      <c r="E48" s="1">
        <v>7.7324999999999999</v>
      </c>
      <c r="F48" s="2">
        <v>4517.75</v>
      </c>
      <c r="G48" s="7">
        <f t="shared" si="0"/>
        <v>34933.501875000002</v>
      </c>
      <c r="H48" s="7">
        <f t="shared" si="1"/>
        <v>22588.75</v>
      </c>
      <c r="I48" s="7">
        <f t="shared" si="2"/>
        <v>57522.251875000002</v>
      </c>
      <c r="J48" s="7">
        <f t="shared" si="3"/>
        <v>19.098749999999999</v>
      </c>
      <c r="K48" s="3">
        <f t="shared" si="4"/>
        <v>4517.75</v>
      </c>
      <c r="L48" s="1">
        <f t="shared" si="5"/>
        <v>86283.377812499995</v>
      </c>
      <c r="M48" s="7">
        <f t="shared" si="6"/>
        <v>28761.125937499994</v>
      </c>
    </row>
    <row r="49" spans="1:13" x14ac:dyDescent="0.35">
      <c r="A49" t="s">
        <v>61</v>
      </c>
      <c r="B49" t="s">
        <v>14</v>
      </c>
      <c r="C49" t="s">
        <v>52</v>
      </c>
      <c r="D49" t="s">
        <v>62</v>
      </c>
      <c r="E49" s="1">
        <v>2.4275000000000002</v>
      </c>
      <c r="F49" s="2">
        <v>4585</v>
      </c>
      <c r="G49" s="7">
        <f t="shared" si="0"/>
        <v>11130.087500000001</v>
      </c>
      <c r="H49" s="7">
        <f t="shared" si="1"/>
        <v>22925</v>
      </c>
      <c r="I49" s="7">
        <f t="shared" si="2"/>
        <v>34055.087500000001</v>
      </c>
      <c r="J49" s="7">
        <f t="shared" si="3"/>
        <v>11.141249999999999</v>
      </c>
      <c r="K49" s="3">
        <f t="shared" si="4"/>
        <v>4585</v>
      </c>
      <c r="L49" s="1">
        <f t="shared" si="5"/>
        <v>51082.631249999999</v>
      </c>
      <c r="M49" s="7">
        <f t="shared" si="6"/>
        <v>17027.543749999997</v>
      </c>
    </row>
    <row r="50" spans="1:13" x14ac:dyDescent="0.35">
      <c r="A50" t="s">
        <v>61</v>
      </c>
      <c r="B50" t="s">
        <v>14</v>
      </c>
      <c r="C50" t="s">
        <v>52</v>
      </c>
      <c r="D50" t="s">
        <v>62</v>
      </c>
      <c r="E50" s="1">
        <v>2.29</v>
      </c>
      <c r="F50" s="2">
        <v>3779.25</v>
      </c>
      <c r="G50" s="7">
        <f t="shared" si="0"/>
        <v>8654.4825000000001</v>
      </c>
      <c r="H50" s="7">
        <f t="shared" si="1"/>
        <v>18896.25</v>
      </c>
      <c r="I50" s="7">
        <f t="shared" si="2"/>
        <v>27550.732499999998</v>
      </c>
      <c r="J50" s="7">
        <f t="shared" si="3"/>
        <v>10.935</v>
      </c>
      <c r="K50" s="3">
        <f t="shared" si="4"/>
        <v>3779.25</v>
      </c>
      <c r="L50" s="1">
        <f t="shared" si="5"/>
        <v>41326.098750000005</v>
      </c>
      <c r="M50" s="7">
        <f t="shared" si="6"/>
        <v>13775.366250000006</v>
      </c>
    </row>
    <row r="51" spans="1:13" x14ac:dyDescent="0.35">
      <c r="A51" t="s">
        <v>63</v>
      </c>
      <c r="B51" t="s">
        <v>14</v>
      </c>
      <c r="C51" t="s">
        <v>52</v>
      </c>
      <c r="D51" t="s">
        <v>62</v>
      </c>
      <c r="E51" s="1">
        <v>2.4275000000000002</v>
      </c>
      <c r="F51" s="2">
        <v>4572.25</v>
      </c>
      <c r="G51" s="7">
        <f t="shared" si="0"/>
        <v>11099.136875</v>
      </c>
      <c r="H51" s="7">
        <f t="shared" si="1"/>
        <v>22861.25</v>
      </c>
      <c r="I51" s="7">
        <f t="shared" si="2"/>
        <v>33960.386874999997</v>
      </c>
      <c r="J51" s="7">
        <f t="shared" si="3"/>
        <v>11.141249999999999</v>
      </c>
      <c r="K51" s="3">
        <f t="shared" si="4"/>
        <v>4572.25</v>
      </c>
      <c r="L51" s="1">
        <f t="shared" si="5"/>
        <v>50940.580312499995</v>
      </c>
      <c r="M51" s="7">
        <f t="shared" si="6"/>
        <v>16980.193437499998</v>
      </c>
    </row>
    <row r="52" spans="1:13" x14ac:dyDescent="0.35">
      <c r="A52" t="s">
        <v>63</v>
      </c>
      <c r="B52" t="s">
        <v>14</v>
      </c>
      <c r="C52" t="s">
        <v>52</v>
      </c>
      <c r="D52" t="s">
        <v>62</v>
      </c>
      <c r="E52" s="1">
        <v>2.29</v>
      </c>
      <c r="F52" s="2">
        <v>4206.75</v>
      </c>
      <c r="G52" s="7">
        <f t="shared" si="0"/>
        <v>9633.4575000000004</v>
      </c>
      <c r="H52" s="7">
        <f t="shared" si="1"/>
        <v>21033.75</v>
      </c>
      <c r="I52" s="7">
        <f t="shared" si="2"/>
        <v>30667.2075</v>
      </c>
      <c r="J52" s="7">
        <f t="shared" si="3"/>
        <v>10.935</v>
      </c>
      <c r="K52" s="3">
        <f t="shared" si="4"/>
        <v>4206.75</v>
      </c>
      <c r="L52" s="1">
        <f t="shared" si="5"/>
        <v>46000.811249999999</v>
      </c>
      <c r="M52" s="7">
        <f t="shared" si="6"/>
        <v>15333.603749999998</v>
      </c>
    </row>
    <row r="53" spans="1:13" x14ac:dyDescent="0.35">
      <c r="A53" t="s">
        <v>64</v>
      </c>
      <c r="B53" t="s">
        <v>14</v>
      </c>
      <c r="C53" t="s">
        <v>52</v>
      </c>
      <c r="D53" t="s">
        <v>62</v>
      </c>
      <c r="E53" s="1">
        <v>2.4275000000000002</v>
      </c>
      <c r="F53" s="2">
        <v>4657.75</v>
      </c>
      <c r="G53" s="7">
        <f t="shared" si="0"/>
        <v>11306.688125000001</v>
      </c>
      <c r="H53" s="7">
        <f t="shared" si="1"/>
        <v>23288.75</v>
      </c>
      <c r="I53" s="7">
        <f t="shared" si="2"/>
        <v>34595.438125000001</v>
      </c>
      <c r="J53" s="7">
        <f t="shared" si="3"/>
        <v>11.141249999999999</v>
      </c>
      <c r="K53" s="3">
        <f t="shared" si="4"/>
        <v>4657.75</v>
      </c>
      <c r="L53" s="1">
        <f t="shared" si="5"/>
        <v>51893.157187500001</v>
      </c>
      <c r="M53" s="7">
        <f t="shared" si="6"/>
        <v>17297.7190625</v>
      </c>
    </row>
    <row r="54" spans="1:13" x14ac:dyDescent="0.35">
      <c r="A54" t="s">
        <v>64</v>
      </c>
      <c r="B54" t="s">
        <v>14</v>
      </c>
      <c r="C54" t="s">
        <v>52</v>
      </c>
      <c r="D54" t="s">
        <v>62</v>
      </c>
      <c r="E54" s="1">
        <v>2.29</v>
      </c>
      <c r="F54" s="2">
        <v>4590.25</v>
      </c>
      <c r="G54" s="7">
        <f t="shared" si="0"/>
        <v>10511.672500000001</v>
      </c>
      <c r="H54" s="7">
        <f t="shared" si="1"/>
        <v>22951.25</v>
      </c>
      <c r="I54" s="7">
        <f t="shared" si="2"/>
        <v>33462.922500000001</v>
      </c>
      <c r="J54" s="7">
        <f t="shared" si="3"/>
        <v>10.935</v>
      </c>
      <c r="K54" s="3">
        <f t="shared" si="4"/>
        <v>4590.25</v>
      </c>
      <c r="L54" s="1">
        <f t="shared" si="5"/>
        <v>50194.383750000001</v>
      </c>
      <c r="M54" s="7">
        <f t="shared" si="6"/>
        <v>16731.46125</v>
      </c>
    </row>
    <row r="55" spans="1:13" x14ac:dyDescent="0.35">
      <c r="A55" t="s">
        <v>65</v>
      </c>
      <c r="B55" t="s">
        <v>14</v>
      </c>
      <c r="C55" t="s">
        <v>52</v>
      </c>
      <c r="D55" t="s">
        <v>62</v>
      </c>
      <c r="E55" s="1">
        <v>3.9175</v>
      </c>
      <c r="F55" s="2">
        <v>4896.75</v>
      </c>
      <c r="G55" s="7">
        <f t="shared" si="0"/>
        <v>19183.018124999999</v>
      </c>
      <c r="H55" s="7">
        <f t="shared" si="1"/>
        <v>24483.75</v>
      </c>
      <c r="I55" s="7">
        <f t="shared" si="2"/>
        <v>43666.768125000002</v>
      </c>
      <c r="J55" s="7">
        <f t="shared" si="3"/>
        <v>13.376250000000001</v>
      </c>
      <c r="K55" s="3">
        <f t="shared" si="4"/>
        <v>4896.75</v>
      </c>
      <c r="L55" s="1">
        <f t="shared" si="5"/>
        <v>65500.152187500003</v>
      </c>
      <c r="M55" s="7">
        <f t="shared" si="6"/>
        <v>21833.384062500001</v>
      </c>
    </row>
    <row r="56" spans="1:13" x14ac:dyDescent="0.35">
      <c r="A56" t="s">
        <v>66</v>
      </c>
      <c r="B56" t="s">
        <v>14</v>
      </c>
      <c r="C56" t="s">
        <v>52</v>
      </c>
      <c r="D56" t="s">
        <v>62</v>
      </c>
      <c r="E56" s="1">
        <v>3.9175</v>
      </c>
      <c r="F56" s="2">
        <v>4746.25</v>
      </c>
      <c r="G56" s="7">
        <f t="shared" si="0"/>
        <v>18593.434375000001</v>
      </c>
      <c r="H56" s="7">
        <f t="shared" si="1"/>
        <v>23731.25</v>
      </c>
      <c r="I56" s="7">
        <f t="shared" si="2"/>
        <v>42324.684374999997</v>
      </c>
      <c r="J56" s="7">
        <f t="shared" si="3"/>
        <v>13.376250000000001</v>
      </c>
      <c r="K56" s="3">
        <f t="shared" si="4"/>
        <v>4746.25</v>
      </c>
      <c r="L56" s="1">
        <f t="shared" si="5"/>
        <v>63487.026562500003</v>
      </c>
      <c r="M56" s="7">
        <f t="shared" si="6"/>
        <v>21162.342187500006</v>
      </c>
    </row>
    <row r="57" spans="1:13" x14ac:dyDescent="0.35">
      <c r="A57" t="s">
        <v>67</v>
      </c>
      <c r="B57" t="s">
        <v>14</v>
      </c>
      <c r="C57" t="s">
        <v>52</v>
      </c>
      <c r="D57" t="s">
        <v>62</v>
      </c>
      <c r="E57" s="1">
        <v>3.9175</v>
      </c>
      <c r="F57" s="2">
        <v>4312.5</v>
      </c>
      <c r="G57" s="7">
        <f t="shared" si="0"/>
        <v>16894.21875</v>
      </c>
      <c r="H57" s="7">
        <f t="shared" si="1"/>
        <v>21562.5</v>
      </c>
      <c r="I57" s="7">
        <f t="shared" si="2"/>
        <v>38456.71875</v>
      </c>
      <c r="J57" s="7">
        <f t="shared" si="3"/>
        <v>13.376250000000001</v>
      </c>
      <c r="K57" s="3">
        <f t="shared" si="4"/>
        <v>4312.5</v>
      </c>
      <c r="L57" s="1">
        <f t="shared" si="5"/>
        <v>57685.078125</v>
      </c>
      <c r="M57" s="7">
        <f t="shared" si="6"/>
        <v>19228.359375</v>
      </c>
    </row>
    <row r="58" spans="1:13" x14ac:dyDescent="0.35">
      <c r="A58" t="s">
        <v>68</v>
      </c>
      <c r="B58" t="s">
        <v>14</v>
      </c>
      <c r="C58" t="s">
        <v>52</v>
      </c>
      <c r="D58" t="s">
        <v>53</v>
      </c>
      <c r="E58" s="1">
        <v>6.5449999999999999</v>
      </c>
      <c r="F58" s="2">
        <v>4481</v>
      </c>
      <c r="G58" s="7">
        <f t="shared" si="0"/>
        <v>29328.145</v>
      </c>
      <c r="H58" s="7">
        <f t="shared" si="1"/>
        <v>22405</v>
      </c>
      <c r="I58" s="7">
        <f t="shared" si="2"/>
        <v>51733.145000000004</v>
      </c>
      <c r="J58" s="7">
        <f t="shared" si="3"/>
        <v>17.317499999999999</v>
      </c>
      <c r="K58" s="3">
        <f t="shared" si="4"/>
        <v>4481</v>
      </c>
      <c r="L58" s="1">
        <f t="shared" si="5"/>
        <v>77599.717499999999</v>
      </c>
      <c r="M58" s="7">
        <f t="shared" si="6"/>
        <v>25866.572499999995</v>
      </c>
    </row>
    <row r="59" spans="1:13" x14ac:dyDescent="0.35">
      <c r="A59" t="s">
        <v>69</v>
      </c>
      <c r="B59" t="s">
        <v>14</v>
      </c>
      <c r="C59" t="s">
        <v>52</v>
      </c>
      <c r="D59" t="s">
        <v>53</v>
      </c>
      <c r="E59" s="1">
        <v>6.5449999999999999</v>
      </c>
      <c r="F59" s="2">
        <v>3828.5</v>
      </c>
      <c r="G59" s="7">
        <f t="shared" si="0"/>
        <v>25057.532500000001</v>
      </c>
      <c r="H59" s="7">
        <f t="shared" si="1"/>
        <v>19142.5</v>
      </c>
      <c r="I59" s="7">
        <f t="shared" si="2"/>
        <v>44200.032500000001</v>
      </c>
      <c r="J59" s="7">
        <f t="shared" si="3"/>
        <v>17.317499999999999</v>
      </c>
      <c r="K59" s="3">
        <f t="shared" si="4"/>
        <v>3828.5</v>
      </c>
      <c r="L59" s="1">
        <f t="shared" si="5"/>
        <v>66300.048750000002</v>
      </c>
      <c r="M59" s="7">
        <f t="shared" si="6"/>
        <v>22100.016250000001</v>
      </c>
    </row>
    <row r="60" spans="1:13" x14ac:dyDescent="0.35">
      <c r="A60" t="s">
        <v>70</v>
      </c>
      <c r="B60" t="s">
        <v>14</v>
      </c>
      <c r="C60" t="s">
        <v>52</v>
      </c>
      <c r="D60" t="s">
        <v>53</v>
      </c>
      <c r="E60" s="1">
        <v>6.5449999999999999</v>
      </c>
      <c r="F60" s="2">
        <v>4142.75</v>
      </c>
      <c r="G60" s="7">
        <f t="shared" si="0"/>
        <v>27114.298749999998</v>
      </c>
      <c r="H60" s="7">
        <f t="shared" si="1"/>
        <v>20713.75</v>
      </c>
      <c r="I60" s="7">
        <f t="shared" si="2"/>
        <v>47828.048750000002</v>
      </c>
      <c r="J60" s="7">
        <f t="shared" si="3"/>
        <v>17.317499999999999</v>
      </c>
      <c r="K60" s="3">
        <f t="shared" si="4"/>
        <v>4142.75</v>
      </c>
      <c r="L60" s="1">
        <f t="shared" si="5"/>
        <v>71742.073124999995</v>
      </c>
      <c r="M60" s="7">
        <f t="shared" si="6"/>
        <v>23914.024374999994</v>
      </c>
    </row>
    <row r="61" spans="1:13" x14ac:dyDescent="0.35">
      <c r="A61" t="s">
        <v>71</v>
      </c>
      <c r="B61" t="s">
        <v>14</v>
      </c>
      <c r="C61" t="s">
        <v>15</v>
      </c>
      <c r="D61" t="s">
        <v>72</v>
      </c>
      <c r="E61" s="1">
        <v>19.48</v>
      </c>
      <c r="F61" s="2">
        <v>4552.25</v>
      </c>
      <c r="G61" s="7">
        <f t="shared" si="0"/>
        <v>88677.83</v>
      </c>
      <c r="H61" s="7">
        <f t="shared" si="1"/>
        <v>22761.25</v>
      </c>
      <c r="I61" s="7">
        <f t="shared" si="2"/>
        <v>111439.08</v>
      </c>
      <c r="J61" s="7">
        <f t="shared" si="3"/>
        <v>36.72</v>
      </c>
      <c r="K61" s="3">
        <f t="shared" si="4"/>
        <v>4552.25</v>
      </c>
      <c r="L61" s="1">
        <f t="shared" si="5"/>
        <v>167158.62</v>
      </c>
      <c r="M61" s="7">
        <f t="shared" si="6"/>
        <v>55719.539999999994</v>
      </c>
    </row>
    <row r="62" spans="1:13" x14ac:dyDescent="0.35">
      <c r="A62" t="s">
        <v>73</v>
      </c>
      <c r="B62" t="s">
        <v>14</v>
      </c>
      <c r="C62" t="s">
        <v>15</v>
      </c>
      <c r="D62" t="s">
        <v>72</v>
      </c>
      <c r="E62" s="1">
        <v>28.47</v>
      </c>
      <c r="F62" s="2">
        <v>4809.25</v>
      </c>
      <c r="G62" s="7">
        <f t="shared" si="0"/>
        <v>136919.3475</v>
      </c>
      <c r="H62" s="7">
        <f t="shared" si="1"/>
        <v>24046.25</v>
      </c>
      <c r="I62" s="7">
        <f t="shared" si="2"/>
        <v>160965.5975</v>
      </c>
      <c r="J62" s="7">
        <f t="shared" si="3"/>
        <v>50.204999999999998</v>
      </c>
      <c r="K62" s="3">
        <f t="shared" si="4"/>
        <v>4809.25</v>
      </c>
      <c r="L62" s="1">
        <f t="shared" si="5"/>
        <v>241448.39624999999</v>
      </c>
      <c r="M62" s="7">
        <f t="shared" si="6"/>
        <v>80482.798749999987</v>
      </c>
    </row>
    <row r="63" spans="1:13" x14ac:dyDescent="0.35">
      <c r="A63" t="s">
        <v>74</v>
      </c>
      <c r="B63" t="s">
        <v>14</v>
      </c>
      <c r="C63" t="s">
        <v>15</v>
      </c>
      <c r="D63" t="s">
        <v>72</v>
      </c>
      <c r="E63" s="1">
        <v>44.954999999999998</v>
      </c>
      <c r="F63" s="2">
        <v>4199.5</v>
      </c>
      <c r="G63" s="7">
        <f t="shared" si="0"/>
        <v>188788.52249999999</v>
      </c>
      <c r="H63" s="7">
        <f t="shared" si="1"/>
        <v>20997.5</v>
      </c>
      <c r="I63" s="7">
        <f t="shared" si="2"/>
        <v>209786.02249999999</v>
      </c>
      <c r="J63" s="7">
        <f t="shared" si="3"/>
        <v>74.932500000000005</v>
      </c>
      <c r="K63" s="3">
        <f t="shared" si="4"/>
        <v>4199.5</v>
      </c>
      <c r="L63" s="1">
        <f t="shared" si="5"/>
        <v>314679.03375</v>
      </c>
      <c r="M63" s="7">
        <f t="shared" si="6"/>
        <v>104893.01125000001</v>
      </c>
    </row>
    <row r="64" spans="1:13" x14ac:dyDescent="0.35">
      <c r="A64" t="s">
        <v>75</v>
      </c>
      <c r="B64" t="s">
        <v>14</v>
      </c>
      <c r="C64" t="s">
        <v>24</v>
      </c>
      <c r="D64" t="s">
        <v>25</v>
      </c>
      <c r="E64" s="1">
        <v>85.912499999999994</v>
      </c>
      <c r="F64" s="2">
        <v>3987.25</v>
      </c>
      <c r="G64" s="7">
        <f t="shared" si="0"/>
        <v>342554.61562499998</v>
      </c>
      <c r="H64" s="7">
        <f t="shared" si="1"/>
        <v>19936.25</v>
      </c>
      <c r="I64" s="7">
        <f t="shared" si="2"/>
        <v>362490.86562499998</v>
      </c>
      <c r="J64" s="7">
        <f t="shared" si="3"/>
        <v>136.36874999999998</v>
      </c>
      <c r="K64" s="3">
        <f t="shared" si="4"/>
        <v>3987.25</v>
      </c>
      <c r="L64" s="1">
        <f t="shared" si="5"/>
        <v>543736.29843749991</v>
      </c>
      <c r="M64" s="7">
        <f t="shared" si="6"/>
        <v>181245.43281249993</v>
      </c>
    </row>
    <row r="65" spans="1:13" x14ac:dyDescent="0.35">
      <c r="A65" t="s">
        <v>76</v>
      </c>
      <c r="B65" t="s">
        <v>14</v>
      </c>
      <c r="C65" t="s">
        <v>24</v>
      </c>
      <c r="D65" t="s">
        <v>28</v>
      </c>
      <c r="E65" s="1">
        <v>73.644999999999996</v>
      </c>
      <c r="F65" s="2">
        <v>4553.25</v>
      </c>
      <c r="G65" s="7">
        <f t="shared" si="0"/>
        <v>335324.09625</v>
      </c>
      <c r="H65" s="7">
        <f t="shared" si="1"/>
        <v>22766.25</v>
      </c>
      <c r="I65" s="7">
        <f t="shared" si="2"/>
        <v>358090.34625</v>
      </c>
      <c r="J65" s="7">
        <f t="shared" si="3"/>
        <v>117.9675</v>
      </c>
      <c r="K65" s="3">
        <f t="shared" si="4"/>
        <v>4553.25</v>
      </c>
      <c r="L65" s="1">
        <f t="shared" si="5"/>
        <v>537135.51937500003</v>
      </c>
      <c r="M65" s="7">
        <f t="shared" si="6"/>
        <v>179045.17312500003</v>
      </c>
    </row>
    <row r="66" spans="1:13" x14ac:dyDescent="0.35">
      <c r="A66" t="s">
        <v>77</v>
      </c>
      <c r="B66" t="s">
        <v>14</v>
      </c>
      <c r="C66" t="s">
        <v>24</v>
      </c>
      <c r="D66" t="s">
        <v>25</v>
      </c>
      <c r="E66" s="1">
        <v>85.912499999999994</v>
      </c>
      <c r="F66" s="2">
        <v>4154</v>
      </c>
      <c r="G66" s="7">
        <f t="shared" si="0"/>
        <v>356880.52499999997</v>
      </c>
      <c r="H66" s="7">
        <f t="shared" si="1"/>
        <v>20770</v>
      </c>
      <c r="I66" s="7">
        <f t="shared" si="2"/>
        <v>377650.52499999997</v>
      </c>
      <c r="J66" s="7">
        <f t="shared" si="3"/>
        <v>136.36874999999998</v>
      </c>
      <c r="K66" s="3">
        <f t="shared" si="4"/>
        <v>4154</v>
      </c>
      <c r="L66" s="1">
        <f t="shared" si="5"/>
        <v>566475.78749999986</v>
      </c>
      <c r="M66" s="7">
        <f t="shared" si="6"/>
        <v>188825.2624999999</v>
      </c>
    </row>
    <row r="67" spans="1:13" x14ac:dyDescent="0.35">
      <c r="A67" t="s">
        <v>78</v>
      </c>
      <c r="B67" t="s">
        <v>14</v>
      </c>
      <c r="C67" t="s">
        <v>24</v>
      </c>
      <c r="D67" t="s">
        <v>25</v>
      </c>
      <c r="E67" s="1">
        <v>85.912499999999994</v>
      </c>
      <c r="F67" s="2">
        <v>4309.75</v>
      </c>
      <c r="G67" s="7">
        <f t="shared" si="0"/>
        <v>370261.39687499998</v>
      </c>
      <c r="H67" s="7">
        <f t="shared" si="1"/>
        <v>21548.75</v>
      </c>
      <c r="I67" s="7">
        <f t="shared" si="2"/>
        <v>391810.14687499998</v>
      </c>
      <c r="J67" s="7">
        <f t="shared" si="3"/>
        <v>136.36874999999998</v>
      </c>
      <c r="K67" s="3">
        <f t="shared" si="4"/>
        <v>4309.75</v>
      </c>
      <c r="L67" s="1">
        <f t="shared" si="5"/>
        <v>587715.22031249991</v>
      </c>
      <c r="M67" s="7">
        <f t="shared" si="6"/>
        <v>195905.07343749993</v>
      </c>
    </row>
    <row r="68" spans="1:13" x14ac:dyDescent="0.35">
      <c r="A68" t="s">
        <v>79</v>
      </c>
      <c r="B68" t="s">
        <v>14</v>
      </c>
      <c r="C68" t="s">
        <v>24</v>
      </c>
      <c r="D68" t="s">
        <v>25</v>
      </c>
      <c r="E68" s="1">
        <v>85.912499999999994</v>
      </c>
      <c r="F68" s="2">
        <v>4467.75</v>
      </c>
      <c r="G68" s="7">
        <f t="shared" si="0"/>
        <v>383835.57187499997</v>
      </c>
      <c r="H68" s="7">
        <f t="shared" si="1"/>
        <v>22338.75</v>
      </c>
      <c r="I68" s="7">
        <f t="shared" si="2"/>
        <v>406174.32187499997</v>
      </c>
      <c r="J68" s="7">
        <f t="shared" si="3"/>
        <v>136.36874999999998</v>
      </c>
      <c r="K68" s="3">
        <f t="shared" si="4"/>
        <v>4467.75</v>
      </c>
      <c r="L68" s="1">
        <f t="shared" si="5"/>
        <v>609261.48281249986</v>
      </c>
      <c r="M68" s="7">
        <f t="shared" si="6"/>
        <v>203087.1609374999</v>
      </c>
    </row>
    <row r="69" spans="1:13" x14ac:dyDescent="0.35">
      <c r="A69" t="s">
        <v>80</v>
      </c>
      <c r="B69" t="s">
        <v>81</v>
      </c>
      <c r="C69" t="s">
        <v>15</v>
      </c>
      <c r="D69" t="s">
        <v>16</v>
      </c>
      <c r="E69" s="1">
        <v>217.1575</v>
      </c>
      <c r="F69" s="2">
        <v>3935.5</v>
      </c>
      <c r="G69" s="7">
        <f t="shared" ref="G69:G132" si="7">F69*E69</f>
        <v>854623.34124999994</v>
      </c>
      <c r="H69" s="7">
        <f t="shared" ref="H69:H132" si="8">F69*$P$1</f>
        <v>19677.5</v>
      </c>
      <c r="I69" s="7">
        <f t="shared" ref="I69:I132" si="9">G69+H69</f>
        <v>874300.84124999994</v>
      </c>
      <c r="J69" s="7">
        <f t="shared" ref="J69:J132" si="10">(E69+$P$1)*1.5</f>
        <v>333.23624999999998</v>
      </c>
      <c r="K69" s="3">
        <f t="shared" ref="K69:K132" si="11">F69</f>
        <v>3935.5</v>
      </c>
      <c r="L69" s="1">
        <f t="shared" ref="L69:L132" si="12">K69*J69</f>
        <v>1311451.2618749999</v>
      </c>
      <c r="M69" s="7">
        <f t="shared" ref="M69:M132" si="13">L69-I69</f>
        <v>437150.42062499991</v>
      </c>
    </row>
    <row r="70" spans="1:13" x14ac:dyDescent="0.35">
      <c r="A70" t="s">
        <v>82</v>
      </c>
      <c r="B70" t="s">
        <v>81</v>
      </c>
      <c r="C70" t="s">
        <v>18</v>
      </c>
      <c r="D70" t="s">
        <v>19</v>
      </c>
      <c r="E70" s="1">
        <v>3.0074999999999998</v>
      </c>
      <c r="F70" s="2">
        <v>4949</v>
      </c>
      <c r="G70" s="7">
        <f t="shared" si="7"/>
        <v>14884.117499999998</v>
      </c>
      <c r="H70" s="7">
        <f t="shared" si="8"/>
        <v>24745</v>
      </c>
      <c r="I70" s="7">
        <f t="shared" si="9"/>
        <v>39629.1175</v>
      </c>
      <c r="J70" s="7">
        <f t="shared" si="10"/>
        <v>12.01125</v>
      </c>
      <c r="K70" s="3">
        <f t="shared" si="11"/>
        <v>4949</v>
      </c>
      <c r="L70" s="1">
        <f t="shared" si="12"/>
        <v>59443.676250000004</v>
      </c>
      <c r="M70" s="7">
        <f t="shared" si="13"/>
        <v>19814.558750000004</v>
      </c>
    </row>
    <row r="71" spans="1:13" x14ac:dyDescent="0.35">
      <c r="A71" t="s">
        <v>83</v>
      </c>
      <c r="B71" t="s">
        <v>84</v>
      </c>
      <c r="C71" t="s">
        <v>18</v>
      </c>
      <c r="D71" t="s">
        <v>19</v>
      </c>
      <c r="E71" s="1">
        <v>3.0074999999999998</v>
      </c>
      <c r="F71" s="2">
        <v>4394.25</v>
      </c>
      <c r="G71" s="7">
        <f t="shared" si="7"/>
        <v>13215.706875</v>
      </c>
      <c r="H71" s="7">
        <f t="shared" si="8"/>
        <v>21971.25</v>
      </c>
      <c r="I71" s="7">
        <f t="shared" si="9"/>
        <v>35186.956875000003</v>
      </c>
      <c r="J71" s="7">
        <f t="shared" si="10"/>
        <v>12.01125</v>
      </c>
      <c r="K71" s="3">
        <f t="shared" si="11"/>
        <v>4394.25</v>
      </c>
      <c r="L71" s="1">
        <f t="shared" si="12"/>
        <v>52780.435312500005</v>
      </c>
      <c r="M71" s="7">
        <f t="shared" si="13"/>
        <v>17593.478437500002</v>
      </c>
    </row>
    <row r="72" spans="1:13" x14ac:dyDescent="0.35">
      <c r="A72" t="s">
        <v>85</v>
      </c>
      <c r="B72" t="s">
        <v>86</v>
      </c>
      <c r="C72" t="s">
        <v>52</v>
      </c>
      <c r="D72" t="s">
        <v>87</v>
      </c>
      <c r="E72" s="1">
        <v>0.85</v>
      </c>
      <c r="F72" s="2">
        <v>3811.75</v>
      </c>
      <c r="G72" s="7">
        <f t="shared" si="7"/>
        <v>3239.9874999999997</v>
      </c>
      <c r="H72" s="7">
        <f t="shared" si="8"/>
        <v>19058.75</v>
      </c>
      <c r="I72" s="7">
        <f t="shared" si="9"/>
        <v>22298.737499999999</v>
      </c>
      <c r="J72" s="7">
        <f t="shared" si="10"/>
        <v>8.7749999999999986</v>
      </c>
      <c r="K72" s="3">
        <f t="shared" si="11"/>
        <v>3811.75</v>
      </c>
      <c r="L72" s="1">
        <f t="shared" si="12"/>
        <v>33448.106249999997</v>
      </c>
      <c r="M72" s="7">
        <f t="shared" si="13"/>
        <v>11149.368749999998</v>
      </c>
    </row>
    <row r="73" spans="1:13" x14ac:dyDescent="0.35">
      <c r="A73" t="s">
        <v>88</v>
      </c>
      <c r="B73" t="s">
        <v>86</v>
      </c>
      <c r="C73" t="s">
        <v>52</v>
      </c>
      <c r="D73" t="s">
        <v>87</v>
      </c>
      <c r="E73" s="1">
        <v>0.85</v>
      </c>
      <c r="F73" s="2">
        <v>4125.25</v>
      </c>
      <c r="G73" s="7">
        <f t="shared" si="7"/>
        <v>3506.4625000000001</v>
      </c>
      <c r="H73" s="7">
        <f t="shared" si="8"/>
        <v>20626.25</v>
      </c>
      <c r="I73" s="7">
        <f t="shared" si="9"/>
        <v>24132.712500000001</v>
      </c>
      <c r="J73" s="7">
        <f t="shared" si="10"/>
        <v>8.7749999999999986</v>
      </c>
      <c r="K73" s="3">
        <f t="shared" si="11"/>
        <v>4125.25</v>
      </c>
      <c r="L73" s="1">
        <f t="shared" si="12"/>
        <v>36199.068749999991</v>
      </c>
      <c r="M73" s="7">
        <f t="shared" si="13"/>
        <v>12066.35624999999</v>
      </c>
    </row>
    <row r="74" spans="1:13" x14ac:dyDescent="0.35">
      <c r="A74" t="s">
        <v>83</v>
      </c>
      <c r="B74" t="s">
        <v>84</v>
      </c>
      <c r="C74" t="s">
        <v>18</v>
      </c>
      <c r="D74" t="s">
        <v>19</v>
      </c>
      <c r="E74" s="1">
        <v>3.47</v>
      </c>
      <c r="F74" s="2">
        <v>4326.75</v>
      </c>
      <c r="G74" s="7">
        <f t="shared" si="7"/>
        <v>15013.8225</v>
      </c>
      <c r="H74" s="7">
        <f t="shared" si="8"/>
        <v>21633.75</v>
      </c>
      <c r="I74" s="7">
        <f t="shared" si="9"/>
        <v>36647.572500000002</v>
      </c>
      <c r="J74" s="7">
        <f t="shared" si="10"/>
        <v>12.705000000000002</v>
      </c>
      <c r="K74" s="3">
        <f t="shared" si="11"/>
        <v>4326.75</v>
      </c>
      <c r="L74" s="1">
        <f t="shared" si="12"/>
        <v>54971.358750000007</v>
      </c>
      <c r="M74" s="7">
        <f t="shared" si="13"/>
        <v>18323.786250000005</v>
      </c>
    </row>
    <row r="75" spans="1:13" x14ac:dyDescent="0.35">
      <c r="A75" t="s">
        <v>89</v>
      </c>
      <c r="B75" t="s">
        <v>90</v>
      </c>
      <c r="C75" t="s">
        <v>52</v>
      </c>
      <c r="D75" t="s">
        <v>91</v>
      </c>
      <c r="E75" s="1">
        <v>1.4275</v>
      </c>
      <c r="F75" s="2">
        <v>4072.25</v>
      </c>
      <c r="G75" s="7">
        <f t="shared" si="7"/>
        <v>5813.1368750000001</v>
      </c>
      <c r="H75" s="7">
        <f t="shared" si="8"/>
        <v>20361.25</v>
      </c>
      <c r="I75" s="7">
        <f t="shared" si="9"/>
        <v>26174.386875</v>
      </c>
      <c r="J75" s="7">
        <f t="shared" si="10"/>
        <v>9.6412499999999994</v>
      </c>
      <c r="K75" s="3">
        <f t="shared" si="11"/>
        <v>4072.25</v>
      </c>
      <c r="L75" s="1">
        <f t="shared" si="12"/>
        <v>39261.580312499995</v>
      </c>
      <c r="M75" s="7">
        <f t="shared" si="13"/>
        <v>13087.193437499995</v>
      </c>
    </row>
    <row r="76" spans="1:13" x14ac:dyDescent="0.35">
      <c r="A76" t="s">
        <v>92</v>
      </c>
      <c r="B76" t="s">
        <v>90</v>
      </c>
      <c r="C76" t="s">
        <v>52</v>
      </c>
      <c r="D76" t="s">
        <v>93</v>
      </c>
      <c r="E76" s="1">
        <v>7.93</v>
      </c>
      <c r="F76" s="2">
        <v>4452</v>
      </c>
      <c r="G76" s="7">
        <f t="shared" si="7"/>
        <v>35304.36</v>
      </c>
      <c r="H76" s="7">
        <f t="shared" si="8"/>
        <v>22260</v>
      </c>
      <c r="I76" s="7">
        <f t="shared" si="9"/>
        <v>57564.36</v>
      </c>
      <c r="J76" s="7">
        <f t="shared" si="10"/>
        <v>19.395</v>
      </c>
      <c r="K76" s="3">
        <f t="shared" si="11"/>
        <v>4452</v>
      </c>
      <c r="L76" s="1">
        <f t="shared" si="12"/>
        <v>86346.54</v>
      </c>
      <c r="M76" s="7">
        <f t="shared" si="13"/>
        <v>28782.179999999993</v>
      </c>
    </row>
    <row r="77" spans="1:13" x14ac:dyDescent="0.35">
      <c r="A77" t="s">
        <v>94</v>
      </c>
      <c r="B77" t="s">
        <v>90</v>
      </c>
      <c r="C77" t="s">
        <v>52</v>
      </c>
      <c r="D77" t="s">
        <v>93</v>
      </c>
      <c r="E77" s="1">
        <v>7.93</v>
      </c>
      <c r="F77" s="2">
        <v>4171</v>
      </c>
      <c r="G77" s="7">
        <f t="shared" si="7"/>
        <v>33076.03</v>
      </c>
      <c r="H77" s="7">
        <f t="shared" si="8"/>
        <v>20855</v>
      </c>
      <c r="I77" s="7">
        <f t="shared" si="9"/>
        <v>53931.03</v>
      </c>
      <c r="J77" s="7">
        <f t="shared" si="10"/>
        <v>19.395</v>
      </c>
      <c r="K77" s="3">
        <f t="shared" si="11"/>
        <v>4171</v>
      </c>
      <c r="L77" s="1">
        <f t="shared" si="12"/>
        <v>80896.544999999998</v>
      </c>
      <c r="M77" s="7">
        <f t="shared" si="13"/>
        <v>26965.514999999999</v>
      </c>
    </row>
    <row r="78" spans="1:13" x14ac:dyDescent="0.35">
      <c r="A78" t="s">
        <v>95</v>
      </c>
      <c r="B78" t="s">
        <v>90</v>
      </c>
      <c r="C78" t="s">
        <v>52</v>
      </c>
      <c r="D78" t="s">
        <v>93</v>
      </c>
      <c r="E78" s="1">
        <v>7.93</v>
      </c>
      <c r="F78" s="2">
        <v>4753.75</v>
      </c>
      <c r="G78" s="7">
        <f t="shared" si="7"/>
        <v>37697.237499999996</v>
      </c>
      <c r="H78" s="7">
        <f t="shared" si="8"/>
        <v>23768.75</v>
      </c>
      <c r="I78" s="7">
        <f t="shared" si="9"/>
        <v>61465.987499999996</v>
      </c>
      <c r="J78" s="7">
        <f t="shared" si="10"/>
        <v>19.395</v>
      </c>
      <c r="K78" s="3">
        <f t="shared" si="11"/>
        <v>4753.75</v>
      </c>
      <c r="L78" s="1">
        <f t="shared" si="12"/>
        <v>92198.981249999997</v>
      </c>
      <c r="M78" s="7">
        <f t="shared" si="13"/>
        <v>30732.993750000001</v>
      </c>
    </row>
    <row r="79" spans="1:13" x14ac:dyDescent="0.35">
      <c r="A79" t="s">
        <v>96</v>
      </c>
      <c r="B79" t="s">
        <v>90</v>
      </c>
      <c r="C79" t="s">
        <v>52</v>
      </c>
      <c r="D79" t="s">
        <v>93</v>
      </c>
      <c r="E79" s="1">
        <v>7.93</v>
      </c>
      <c r="F79" s="2">
        <v>3819.5</v>
      </c>
      <c r="G79" s="7">
        <f t="shared" si="7"/>
        <v>30288.634999999998</v>
      </c>
      <c r="H79" s="7">
        <f t="shared" si="8"/>
        <v>19097.5</v>
      </c>
      <c r="I79" s="7">
        <f t="shared" si="9"/>
        <v>49386.134999999995</v>
      </c>
      <c r="J79" s="7">
        <f t="shared" si="10"/>
        <v>19.395</v>
      </c>
      <c r="K79" s="3">
        <f t="shared" si="11"/>
        <v>3819.5</v>
      </c>
      <c r="L79" s="1">
        <f t="shared" si="12"/>
        <v>74079.202499999999</v>
      </c>
      <c r="M79" s="7">
        <f t="shared" si="13"/>
        <v>24693.067500000005</v>
      </c>
    </row>
    <row r="80" spans="1:13" x14ac:dyDescent="0.35">
      <c r="A80" t="s">
        <v>97</v>
      </c>
      <c r="B80" t="s">
        <v>98</v>
      </c>
      <c r="C80" t="s">
        <v>15</v>
      </c>
      <c r="D80" t="s">
        <v>22</v>
      </c>
      <c r="E80" s="1">
        <v>155.96</v>
      </c>
      <c r="F80" s="2">
        <v>4528</v>
      </c>
      <c r="G80" s="7">
        <f t="shared" si="7"/>
        <v>706186.88</v>
      </c>
      <c r="H80" s="7">
        <f t="shared" si="8"/>
        <v>22640</v>
      </c>
      <c r="I80" s="7">
        <f t="shared" si="9"/>
        <v>728826.88</v>
      </c>
      <c r="J80" s="7">
        <f t="shared" si="10"/>
        <v>241.44</v>
      </c>
      <c r="K80" s="3">
        <f t="shared" si="11"/>
        <v>4528</v>
      </c>
      <c r="L80" s="1">
        <f t="shared" si="12"/>
        <v>1093240.3200000001</v>
      </c>
      <c r="M80" s="7">
        <f t="shared" si="13"/>
        <v>364413.44000000006</v>
      </c>
    </row>
    <row r="81" spans="1:13" x14ac:dyDescent="0.35">
      <c r="A81" t="s">
        <v>99</v>
      </c>
      <c r="B81" t="s">
        <v>98</v>
      </c>
      <c r="C81" t="s">
        <v>15</v>
      </c>
      <c r="D81" t="s">
        <v>22</v>
      </c>
      <c r="E81" s="1">
        <v>176.70249999999999</v>
      </c>
      <c r="F81" s="2">
        <v>3996.25</v>
      </c>
      <c r="G81" s="7">
        <f t="shared" si="7"/>
        <v>706147.36562499998</v>
      </c>
      <c r="H81" s="7">
        <f t="shared" si="8"/>
        <v>19981.25</v>
      </c>
      <c r="I81" s="7">
        <f t="shared" si="9"/>
        <v>726128.61562499998</v>
      </c>
      <c r="J81" s="7">
        <f t="shared" si="10"/>
        <v>272.55374999999998</v>
      </c>
      <c r="K81" s="3">
        <f t="shared" si="11"/>
        <v>3996.25</v>
      </c>
      <c r="L81" s="1">
        <f t="shared" si="12"/>
        <v>1089192.9234374999</v>
      </c>
      <c r="M81" s="7">
        <f t="shared" si="13"/>
        <v>363064.30781249993</v>
      </c>
    </row>
    <row r="82" spans="1:13" x14ac:dyDescent="0.35">
      <c r="A82" t="s">
        <v>100</v>
      </c>
      <c r="B82" t="s">
        <v>98</v>
      </c>
      <c r="C82" t="s">
        <v>15</v>
      </c>
      <c r="D82" t="s">
        <v>22</v>
      </c>
      <c r="E82" s="1">
        <v>176.70249999999999</v>
      </c>
      <c r="F82" s="2">
        <v>4064.25</v>
      </c>
      <c r="G82" s="7">
        <f t="shared" si="7"/>
        <v>718163.135625</v>
      </c>
      <c r="H82" s="7">
        <f t="shared" si="8"/>
        <v>20321.25</v>
      </c>
      <c r="I82" s="7">
        <f t="shared" si="9"/>
        <v>738484.385625</v>
      </c>
      <c r="J82" s="7">
        <f t="shared" si="10"/>
        <v>272.55374999999998</v>
      </c>
      <c r="K82" s="3">
        <f t="shared" si="11"/>
        <v>4064.25</v>
      </c>
      <c r="L82" s="1">
        <f t="shared" si="12"/>
        <v>1107726.5784374999</v>
      </c>
      <c r="M82" s="7">
        <f t="shared" si="13"/>
        <v>369242.19281249994</v>
      </c>
    </row>
    <row r="83" spans="1:13" x14ac:dyDescent="0.35">
      <c r="A83" t="s">
        <v>101</v>
      </c>
      <c r="B83" t="s">
        <v>98</v>
      </c>
      <c r="C83" t="s">
        <v>15</v>
      </c>
      <c r="D83" t="s">
        <v>22</v>
      </c>
      <c r="E83" s="1">
        <v>155.96</v>
      </c>
      <c r="F83" s="2">
        <v>4599.5</v>
      </c>
      <c r="G83" s="7">
        <f t="shared" si="7"/>
        <v>717338.02</v>
      </c>
      <c r="H83" s="7">
        <f t="shared" si="8"/>
        <v>22997.5</v>
      </c>
      <c r="I83" s="7">
        <f t="shared" si="9"/>
        <v>740335.52</v>
      </c>
      <c r="J83" s="7">
        <f t="shared" si="10"/>
        <v>241.44</v>
      </c>
      <c r="K83" s="3">
        <f t="shared" si="11"/>
        <v>4599.5</v>
      </c>
      <c r="L83" s="1">
        <f t="shared" si="12"/>
        <v>1110503.28</v>
      </c>
      <c r="M83" s="7">
        <f t="shared" si="13"/>
        <v>370167.76</v>
      </c>
    </row>
    <row r="84" spans="1:13" x14ac:dyDescent="0.35">
      <c r="A84" t="s">
        <v>102</v>
      </c>
      <c r="B84" t="s">
        <v>98</v>
      </c>
      <c r="C84" t="s">
        <v>15</v>
      </c>
      <c r="D84" t="s">
        <v>22</v>
      </c>
      <c r="E84" s="1">
        <v>155.96</v>
      </c>
      <c r="F84" s="2">
        <v>4392.25</v>
      </c>
      <c r="G84" s="7">
        <f t="shared" si="7"/>
        <v>685015.31</v>
      </c>
      <c r="H84" s="7">
        <f t="shared" si="8"/>
        <v>21961.25</v>
      </c>
      <c r="I84" s="7">
        <f t="shared" si="9"/>
        <v>706976.56</v>
      </c>
      <c r="J84" s="7">
        <f t="shared" si="10"/>
        <v>241.44</v>
      </c>
      <c r="K84" s="3">
        <f t="shared" si="11"/>
        <v>4392.25</v>
      </c>
      <c r="L84" s="1">
        <f t="shared" si="12"/>
        <v>1060464.8400000001</v>
      </c>
      <c r="M84" s="7">
        <f t="shared" si="13"/>
        <v>353488.28</v>
      </c>
    </row>
    <row r="85" spans="1:13" x14ac:dyDescent="0.35">
      <c r="A85" t="s">
        <v>103</v>
      </c>
      <c r="B85" t="s">
        <v>81</v>
      </c>
      <c r="C85" t="s">
        <v>24</v>
      </c>
      <c r="D85" t="s">
        <v>25</v>
      </c>
      <c r="E85" s="1">
        <v>542.82249999999999</v>
      </c>
      <c r="F85" s="2">
        <v>3811.25</v>
      </c>
      <c r="G85" s="7">
        <f t="shared" si="7"/>
        <v>2068832.253125</v>
      </c>
      <c r="H85" s="7">
        <f t="shared" si="8"/>
        <v>19056.25</v>
      </c>
      <c r="I85" s="7">
        <f t="shared" si="9"/>
        <v>2087888.503125</v>
      </c>
      <c r="J85" s="7">
        <f t="shared" si="10"/>
        <v>821.73374999999999</v>
      </c>
      <c r="K85" s="3">
        <f t="shared" si="11"/>
        <v>3811.25</v>
      </c>
      <c r="L85" s="1">
        <f t="shared" si="12"/>
        <v>3131832.7546874997</v>
      </c>
      <c r="M85" s="7">
        <f t="shared" si="13"/>
        <v>1043944.2515624997</v>
      </c>
    </row>
    <row r="86" spans="1:13" x14ac:dyDescent="0.35">
      <c r="A86" t="s">
        <v>104</v>
      </c>
      <c r="B86" t="s">
        <v>81</v>
      </c>
      <c r="C86" t="s">
        <v>24</v>
      </c>
      <c r="D86" t="s">
        <v>25</v>
      </c>
      <c r="E86" s="1">
        <v>542.82249999999999</v>
      </c>
      <c r="F86" s="2">
        <v>4471</v>
      </c>
      <c r="G86" s="7">
        <f t="shared" si="7"/>
        <v>2426959.3975</v>
      </c>
      <c r="H86" s="7">
        <f t="shared" si="8"/>
        <v>22355</v>
      </c>
      <c r="I86" s="7">
        <f t="shared" si="9"/>
        <v>2449314.3975</v>
      </c>
      <c r="J86" s="7">
        <f t="shared" si="10"/>
        <v>821.73374999999999</v>
      </c>
      <c r="K86" s="3">
        <f t="shared" si="11"/>
        <v>4471</v>
      </c>
      <c r="L86" s="1">
        <f t="shared" si="12"/>
        <v>3673971.5962499999</v>
      </c>
      <c r="M86" s="7">
        <f t="shared" si="13"/>
        <v>1224657.19875</v>
      </c>
    </row>
    <row r="87" spans="1:13" x14ac:dyDescent="0.35">
      <c r="A87" t="s">
        <v>105</v>
      </c>
      <c r="B87" t="s">
        <v>81</v>
      </c>
      <c r="C87" t="s">
        <v>24</v>
      </c>
      <c r="D87" t="s">
        <v>25</v>
      </c>
      <c r="E87" s="1">
        <v>542.82249999999999</v>
      </c>
      <c r="F87" s="2">
        <v>4793.75</v>
      </c>
      <c r="G87" s="7">
        <f t="shared" si="7"/>
        <v>2602155.359375</v>
      </c>
      <c r="H87" s="7">
        <f t="shared" si="8"/>
        <v>23968.75</v>
      </c>
      <c r="I87" s="7">
        <f t="shared" si="9"/>
        <v>2626124.109375</v>
      </c>
      <c r="J87" s="7">
        <f t="shared" si="10"/>
        <v>821.73374999999999</v>
      </c>
      <c r="K87" s="3">
        <f t="shared" si="11"/>
        <v>4793.75</v>
      </c>
      <c r="L87" s="1">
        <f t="shared" si="12"/>
        <v>3939186.1640625</v>
      </c>
      <c r="M87" s="7">
        <f t="shared" si="13"/>
        <v>1313062.0546875</v>
      </c>
    </row>
    <row r="88" spans="1:13" x14ac:dyDescent="0.35">
      <c r="A88" t="s">
        <v>106</v>
      </c>
      <c r="B88" t="s">
        <v>98</v>
      </c>
      <c r="C88" t="s">
        <v>24</v>
      </c>
      <c r="D88" t="s">
        <v>28</v>
      </c>
      <c r="E88" s="1">
        <v>478.03750000000002</v>
      </c>
      <c r="F88" s="2">
        <v>3850.25</v>
      </c>
      <c r="G88" s="7">
        <f t="shared" si="7"/>
        <v>1840563.8843750001</v>
      </c>
      <c r="H88" s="7">
        <f t="shared" si="8"/>
        <v>19251.25</v>
      </c>
      <c r="I88" s="7">
        <f t="shared" si="9"/>
        <v>1859815.1343750001</v>
      </c>
      <c r="J88" s="7">
        <f t="shared" si="10"/>
        <v>724.55625000000009</v>
      </c>
      <c r="K88" s="3">
        <f t="shared" si="11"/>
        <v>3850.25</v>
      </c>
      <c r="L88" s="1">
        <f t="shared" si="12"/>
        <v>2789722.7015625006</v>
      </c>
      <c r="M88" s="7">
        <f t="shared" si="13"/>
        <v>929907.56718750042</v>
      </c>
    </row>
    <row r="89" spans="1:13" x14ac:dyDescent="0.35">
      <c r="A89" t="s">
        <v>107</v>
      </c>
      <c r="B89" t="s">
        <v>98</v>
      </c>
      <c r="C89" t="s">
        <v>24</v>
      </c>
      <c r="D89" t="s">
        <v>28</v>
      </c>
      <c r="E89" s="1">
        <v>478.03750000000002</v>
      </c>
      <c r="F89" s="2">
        <v>4690.75</v>
      </c>
      <c r="G89" s="7">
        <f t="shared" si="7"/>
        <v>2242354.4031250002</v>
      </c>
      <c r="H89" s="7">
        <f t="shared" si="8"/>
        <v>23453.75</v>
      </c>
      <c r="I89" s="7">
        <f t="shared" si="9"/>
        <v>2265808.1531250002</v>
      </c>
      <c r="J89" s="7">
        <f t="shared" si="10"/>
        <v>724.55625000000009</v>
      </c>
      <c r="K89" s="3">
        <f t="shared" si="11"/>
        <v>4690.75</v>
      </c>
      <c r="L89" s="1">
        <f t="shared" si="12"/>
        <v>3398712.2296875003</v>
      </c>
      <c r="M89" s="7">
        <f t="shared" si="13"/>
        <v>1132904.0765625001</v>
      </c>
    </row>
    <row r="90" spans="1:13" x14ac:dyDescent="0.35">
      <c r="A90" t="s">
        <v>108</v>
      </c>
      <c r="B90" t="s">
        <v>98</v>
      </c>
      <c r="C90" t="s">
        <v>24</v>
      </c>
      <c r="D90" t="s">
        <v>28</v>
      </c>
      <c r="E90" s="1">
        <v>478.03750000000002</v>
      </c>
      <c r="F90" s="2">
        <v>4288.5</v>
      </c>
      <c r="G90" s="7">
        <f t="shared" si="7"/>
        <v>2050063.8187500001</v>
      </c>
      <c r="H90" s="7">
        <f t="shared" si="8"/>
        <v>21442.5</v>
      </c>
      <c r="I90" s="7">
        <f t="shared" si="9"/>
        <v>2071506.3187500001</v>
      </c>
      <c r="J90" s="7">
        <f t="shared" si="10"/>
        <v>724.55625000000009</v>
      </c>
      <c r="K90" s="3">
        <f t="shared" si="11"/>
        <v>4288.5</v>
      </c>
      <c r="L90" s="1">
        <f t="shared" si="12"/>
        <v>3107259.4781250004</v>
      </c>
      <c r="M90" s="7">
        <f t="shared" si="13"/>
        <v>1035753.1593750003</v>
      </c>
    </row>
    <row r="91" spans="1:13" x14ac:dyDescent="0.35">
      <c r="A91" t="s">
        <v>109</v>
      </c>
      <c r="B91" t="s">
        <v>81</v>
      </c>
      <c r="C91" t="s">
        <v>24</v>
      </c>
      <c r="D91" t="s">
        <v>25</v>
      </c>
      <c r="E91" s="1">
        <v>379.69749999999999</v>
      </c>
      <c r="F91" s="2">
        <v>4256.75</v>
      </c>
      <c r="G91" s="7">
        <f t="shared" si="7"/>
        <v>1616277.3331249999</v>
      </c>
      <c r="H91" s="7">
        <f t="shared" si="8"/>
        <v>21283.75</v>
      </c>
      <c r="I91" s="7">
        <f t="shared" si="9"/>
        <v>1637561.0831249999</v>
      </c>
      <c r="J91" s="7">
        <f t="shared" si="10"/>
        <v>577.04624999999999</v>
      </c>
      <c r="K91" s="3">
        <f t="shared" si="11"/>
        <v>4256.75</v>
      </c>
      <c r="L91" s="1">
        <f t="shared" si="12"/>
        <v>2456341.6246874998</v>
      </c>
      <c r="M91" s="7">
        <f t="shared" si="13"/>
        <v>818780.54156249994</v>
      </c>
    </row>
    <row r="92" spans="1:13" x14ac:dyDescent="0.35">
      <c r="A92" t="s">
        <v>110</v>
      </c>
      <c r="B92" t="s">
        <v>81</v>
      </c>
      <c r="C92" t="s">
        <v>24</v>
      </c>
      <c r="D92" t="s">
        <v>25</v>
      </c>
      <c r="E92" s="1">
        <v>379.69749999999999</v>
      </c>
      <c r="F92" s="2">
        <v>3995</v>
      </c>
      <c r="G92" s="7">
        <f t="shared" si="7"/>
        <v>1516891.5125</v>
      </c>
      <c r="H92" s="7">
        <f t="shared" si="8"/>
        <v>19975</v>
      </c>
      <c r="I92" s="7">
        <f t="shared" si="9"/>
        <v>1536866.5125</v>
      </c>
      <c r="J92" s="7">
        <f t="shared" si="10"/>
        <v>577.04624999999999</v>
      </c>
      <c r="K92" s="3">
        <f t="shared" si="11"/>
        <v>3995</v>
      </c>
      <c r="L92" s="1">
        <f t="shared" si="12"/>
        <v>2305299.7687499998</v>
      </c>
      <c r="M92" s="7">
        <f t="shared" si="13"/>
        <v>768433.25624999986</v>
      </c>
    </row>
    <row r="93" spans="1:13" x14ac:dyDescent="0.35">
      <c r="A93" t="s">
        <v>111</v>
      </c>
      <c r="B93" t="s">
        <v>81</v>
      </c>
      <c r="C93" t="s">
        <v>24</v>
      </c>
      <c r="D93" t="s">
        <v>25</v>
      </c>
      <c r="E93" s="1">
        <v>379.69749999999999</v>
      </c>
      <c r="F93" s="2">
        <v>4632.5</v>
      </c>
      <c r="G93" s="7">
        <f t="shared" si="7"/>
        <v>1758948.66875</v>
      </c>
      <c r="H93" s="7">
        <f t="shared" si="8"/>
        <v>23162.5</v>
      </c>
      <c r="I93" s="7">
        <f t="shared" si="9"/>
        <v>1782111.16875</v>
      </c>
      <c r="J93" s="7">
        <f t="shared" si="10"/>
        <v>577.04624999999999</v>
      </c>
      <c r="K93" s="3">
        <f t="shared" si="11"/>
        <v>4632.5</v>
      </c>
      <c r="L93" s="1">
        <f t="shared" si="12"/>
        <v>2673166.7531249998</v>
      </c>
      <c r="M93" s="7">
        <f t="shared" si="13"/>
        <v>891055.58437499986</v>
      </c>
    </row>
    <row r="94" spans="1:13" x14ac:dyDescent="0.35">
      <c r="A94" t="s">
        <v>112</v>
      </c>
      <c r="B94" t="s">
        <v>113</v>
      </c>
      <c r="C94" t="s">
        <v>24</v>
      </c>
      <c r="D94" t="s">
        <v>25</v>
      </c>
      <c r="E94" s="1">
        <v>151.41249999999999</v>
      </c>
      <c r="F94" s="2">
        <v>4917.5</v>
      </c>
      <c r="G94" s="7">
        <f t="shared" si="7"/>
        <v>744570.96875</v>
      </c>
      <c r="H94" s="7">
        <f t="shared" si="8"/>
        <v>24587.5</v>
      </c>
      <c r="I94" s="7">
        <f t="shared" si="9"/>
        <v>769158.46875</v>
      </c>
      <c r="J94" s="7">
        <f t="shared" si="10"/>
        <v>234.61874999999998</v>
      </c>
      <c r="K94" s="3">
        <f t="shared" si="11"/>
        <v>4917.5</v>
      </c>
      <c r="L94" s="1">
        <f t="shared" si="12"/>
        <v>1153737.703125</v>
      </c>
      <c r="M94" s="7">
        <f t="shared" si="13"/>
        <v>384579.234375</v>
      </c>
    </row>
    <row r="95" spans="1:13" x14ac:dyDescent="0.35">
      <c r="A95" t="s">
        <v>114</v>
      </c>
      <c r="B95" t="s">
        <v>113</v>
      </c>
      <c r="C95" t="s">
        <v>24</v>
      </c>
      <c r="D95" t="s">
        <v>25</v>
      </c>
      <c r="E95" s="1">
        <v>178.27</v>
      </c>
      <c r="F95" s="2">
        <v>4232.5</v>
      </c>
      <c r="G95" s="7">
        <f t="shared" si="7"/>
        <v>754527.77500000002</v>
      </c>
      <c r="H95" s="7">
        <f t="shared" si="8"/>
        <v>21162.5</v>
      </c>
      <c r="I95" s="7">
        <f t="shared" si="9"/>
        <v>775690.27500000002</v>
      </c>
      <c r="J95" s="7">
        <f t="shared" si="10"/>
        <v>274.90500000000003</v>
      </c>
      <c r="K95" s="3">
        <f t="shared" si="11"/>
        <v>4232.5</v>
      </c>
      <c r="L95" s="1">
        <f t="shared" si="12"/>
        <v>1163535.4125000001</v>
      </c>
      <c r="M95" s="7">
        <f t="shared" si="13"/>
        <v>387845.13750000007</v>
      </c>
    </row>
    <row r="96" spans="1:13" x14ac:dyDescent="0.35">
      <c r="A96" t="s">
        <v>115</v>
      </c>
      <c r="B96" t="s">
        <v>113</v>
      </c>
      <c r="C96" t="s">
        <v>24</v>
      </c>
      <c r="D96" t="s">
        <v>25</v>
      </c>
      <c r="E96" s="1">
        <v>151.41249999999999</v>
      </c>
      <c r="F96" s="2">
        <v>3892</v>
      </c>
      <c r="G96" s="7">
        <f t="shared" si="7"/>
        <v>589297.44999999995</v>
      </c>
      <c r="H96" s="7">
        <f t="shared" si="8"/>
        <v>19460</v>
      </c>
      <c r="I96" s="7">
        <f t="shared" si="9"/>
        <v>608757.44999999995</v>
      </c>
      <c r="J96" s="7">
        <f t="shared" si="10"/>
        <v>234.61874999999998</v>
      </c>
      <c r="K96" s="3">
        <f t="shared" si="11"/>
        <v>3892</v>
      </c>
      <c r="L96" s="1">
        <f t="shared" si="12"/>
        <v>913136.17499999993</v>
      </c>
      <c r="M96" s="7">
        <f t="shared" si="13"/>
        <v>304378.72499999998</v>
      </c>
    </row>
    <row r="97" spans="1:13" x14ac:dyDescent="0.35">
      <c r="A97" t="s">
        <v>116</v>
      </c>
      <c r="B97" t="s">
        <v>117</v>
      </c>
      <c r="C97" t="s">
        <v>15</v>
      </c>
      <c r="D97" t="s">
        <v>118</v>
      </c>
      <c r="E97" s="1">
        <v>16.452500000000001</v>
      </c>
      <c r="F97" s="2">
        <v>3840</v>
      </c>
      <c r="G97" s="7">
        <f t="shared" si="7"/>
        <v>63177.600000000006</v>
      </c>
      <c r="H97" s="7">
        <f t="shared" si="8"/>
        <v>19200</v>
      </c>
      <c r="I97" s="7">
        <f t="shared" si="9"/>
        <v>82377.600000000006</v>
      </c>
      <c r="J97" s="7">
        <f t="shared" si="10"/>
        <v>32.178750000000001</v>
      </c>
      <c r="K97" s="3">
        <f t="shared" si="11"/>
        <v>3840</v>
      </c>
      <c r="L97" s="1">
        <f t="shared" si="12"/>
        <v>123566.40000000001</v>
      </c>
      <c r="M97" s="7">
        <f t="shared" si="13"/>
        <v>41188.800000000003</v>
      </c>
    </row>
    <row r="98" spans="1:13" x14ac:dyDescent="0.35">
      <c r="A98" t="s">
        <v>119</v>
      </c>
      <c r="B98" t="s">
        <v>117</v>
      </c>
      <c r="C98" t="s">
        <v>15</v>
      </c>
      <c r="D98" t="s">
        <v>118</v>
      </c>
      <c r="E98" s="1">
        <v>19.48</v>
      </c>
      <c r="F98" s="2">
        <v>3881.75</v>
      </c>
      <c r="G98" s="7">
        <f t="shared" si="7"/>
        <v>75616.490000000005</v>
      </c>
      <c r="H98" s="7">
        <f t="shared" si="8"/>
        <v>19408.75</v>
      </c>
      <c r="I98" s="7">
        <f t="shared" si="9"/>
        <v>95025.24</v>
      </c>
      <c r="J98" s="7">
        <f t="shared" si="10"/>
        <v>36.72</v>
      </c>
      <c r="K98" s="3">
        <f t="shared" si="11"/>
        <v>3881.75</v>
      </c>
      <c r="L98" s="1">
        <f t="shared" si="12"/>
        <v>142537.85999999999</v>
      </c>
      <c r="M98" s="7">
        <f t="shared" si="13"/>
        <v>47512.619999999981</v>
      </c>
    </row>
    <row r="99" spans="1:13" x14ac:dyDescent="0.35">
      <c r="A99" t="s">
        <v>120</v>
      </c>
      <c r="B99" t="s">
        <v>117</v>
      </c>
      <c r="C99" t="s">
        <v>15</v>
      </c>
      <c r="D99" t="s">
        <v>118</v>
      </c>
      <c r="E99" s="1">
        <v>25.4725</v>
      </c>
      <c r="F99" s="2">
        <v>4603.75</v>
      </c>
      <c r="G99" s="7">
        <f t="shared" si="7"/>
        <v>117269.02187500001</v>
      </c>
      <c r="H99" s="7">
        <f t="shared" si="8"/>
        <v>23018.75</v>
      </c>
      <c r="I99" s="7">
        <f t="shared" si="9"/>
        <v>140287.77187500001</v>
      </c>
      <c r="J99" s="7">
        <f t="shared" si="10"/>
        <v>45.708750000000002</v>
      </c>
      <c r="K99" s="3">
        <f t="shared" si="11"/>
        <v>4603.75</v>
      </c>
      <c r="L99" s="1">
        <f t="shared" si="12"/>
        <v>210431.65781250002</v>
      </c>
      <c r="M99" s="7">
        <f t="shared" si="13"/>
        <v>70143.885937500017</v>
      </c>
    </row>
    <row r="100" spans="1:13" x14ac:dyDescent="0.35">
      <c r="A100" t="s">
        <v>121</v>
      </c>
      <c r="B100" t="s">
        <v>117</v>
      </c>
      <c r="C100" t="s">
        <v>15</v>
      </c>
      <c r="D100" t="s">
        <v>122</v>
      </c>
      <c r="E100" s="1">
        <v>3.7949999999999999</v>
      </c>
      <c r="F100" s="2">
        <v>3969.75</v>
      </c>
      <c r="G100" s="7">
        <f t="shared" si="7"/>
        <v>15065.20125</v>
      </c>
      <c r="H100" s="7">
        <f t="shared" si="8"/>
        <v>19848.75</v>
      </c>
      <c r="I100" s="7">
        <f t="shared" si="9"/>
        <v>34913.951249999998</v>
      </c>
      <c r="J100" s="7">
        <f t="shared" si="10"/>
        <v>13.192499999999999</v>
      </c>
      <c r="K100" s="3">
        <f t="shared" si="11"/>
        <v>3969.75</v>
      </c>
      <c r="L100" s="1">
        <f t="shared" si="12"/>
        <v>52370.926874999997</v>
      </c>
      <c r="M100" s="7">
        <f t="shared" si="13"/>
        <v>17456.975624999999</v>
      </c>
    </row>
    <row r="101" spans="1:13" x14ac:dyDescent="0.35">
      <c r="A101" t="s">
        <v>123</v>
      </c>
      <c r="B101" t="s">
        <v>117</v>
      </c>
      <c r="C101" t="s">
        <v>15</v>
      </c>
      <c r="D101" t="s">
        <v>122</v>
      </c>
      <c r="E101" s="1">
        <v>11.355</v>
      </c>
      <c r="F101" s="2">
        <v>4169.5</v>
      </c>
      <c r="G101" s="7">
        <f t="shared" si="7"/>
        <v>47344.672500000001</v>
      </c>
      <c r="H101" s="7">
        <f t="shared" si="8"/>
        <v>20847.5</v>
      </c>
      <c r="I101" s="7">
        <f t="shared" si="9"/>
        <v>68192.172500000001</v>
      </c>
      <c r="J101" s="7">
        <f t="shared" si="10"/>
        <v>24.532499999999999</v>
      </c>
      <c r="K101" s="3">
        <f t="shared" si="11"/>
        <v>4169.5</v>
      </c>
      <c r="L101" s="1">
        <f t="shared" si="12"/>
        <v>102288.25874999999</v>
      </c>
      <c r="M101" s="7">
        <f t="shared" si="13"/>
        <v>34096.086249999993</v>
      </c>
    </row>
    <row r="102" spans="1:13" x14ac:dyDescent="0.35">
      <c r="A102" t="s">
        <v>124</v>
      </c>
      <c r="B102" t="s">
        <v>117</v>
      </c>
      <c r="C102" t="s">
        <v>15</v>
      </c>
      <c r="D102" t="s">
        <v>122</v>
      </c>
      <c r="E102" s="1">
        <v>13.845000000000001</v>
      </c>
      <c r="F102" s="2">
        <v>4679.5</v>
      </c>
      <c r="G102" s="7">
        <f t="shared" si="7"/>
        <v>64787.677500000005</v>
      </c>
      <c r="H102" s="7">
        <f t="shared" si="8"/>
        <v>23397.5</v>
      </c>
      <c r="I102" s="7">
        <f t="shared" si="9"/>
        <v>88185.177500000005</v>
      </c>
      <c r="J102" s="7">
        <f t="shared" si="10"/>
        <v>28.267499999999998</v>
      </c>
      <c r="K102" s="3">
        <f t="shared" si="11"/>
        <v>4679.5</v>
      </c>
      <c r="L102" s="1">
        <f t="shared" si="12"/>
        <v>132277.76624999999</v>
      </c>
      <c r="M102" s="7">
        <f t="shared" si="13"/>
        <v>44092.588749999981</v>
      </c>
    </row>
    <row r="103" spans="1:13" x14ac:dyDescent="0.35">
      <c r="A103" t="s">
        <v>125</v>
      </c>
      <c r="B103" t="s">
        <v>117</v>
      </c>
      <c r="C103" t="s">
        <v>15</v>
      </c>
      <c r="D103" t="s">
        <v>126</v>
      </c>
      <c r="E103" s="1">
        <v>4.4950000000000001</v>
      </c>
      <c r="F103" s="2">
        <v>3920.75</v>
      </c>
      <c r="G103" s="7">
        <f t="shared" si="7"/>
        <v>17623.771250000002</v>
      </c>
      <c r="H103" s="7">
        <f t="shared" si="8"/>
        <v>19603.75</v>
      </c>
      <c r="I103" s="7">
        <f t="shared" si="9"/>
        <v>37227.521250000005</v>
      </c>
      <c r="J103" s="7">
        <f t="shared" si="10"/>
        <v>14.242500000000001</v>
      </c>
      <c r="K103" s="3">
        <f t="shared" si="11"/>
        <v>3920.75</v>
      </c>
      <c r="L103" s="1">
        <f t="shared" si="12"/>
        <v>55841.281875000008</v>
      </c>
      <c r="M103" s="7">
        <f t="shared" si="13"/>
        <v>18613.760625000003</v>
      </c>
    </row>
    <row r="104" spans="1:13" x14ac:dyDescent="0.35">
      <c r="A104" t="s">
        <v>125</v>
      </c>
      <c r="B104" t="s">
        <v>117</v>
      </c>
      <c r="C104" t="s">
        <v>15</v>
      </c>
      <c r="D104" t="s">
        <v>126</v>
      </c>
      <c r="E104" s="1">
        <v>4.9450000000000003</v>
      </c>
      <c r="F104" s="2">
        <v>4634.25</v>
      </c>
      <c r="G104" s="7">
        <f t="shared" si="7"/>
        <v>22916.366250000003</v>
      </c>
      <c r="H104" s="7">
        <f t="shared" si="8"/>
        <v>23171.25</v>
      </c>
      <c r="I104" s="7">
        <f t="shared" si="9"/>
        <v>46087.616250000006</v>
      </c>
      <c r="J104" s="7">
        <f t="shared" si="10"/>
        <v>14.9175</v>
      </c>
      <c r="K104" s="3">
        <f t="shared" si="11"/>
        <v>4634.25</v>
      </c>
      <c r="L104" s="1">
        <f t="shared" si="12"/>
        <v>69131.424375000002</v>
      </c>
      <c r="M104" s="7">
        <f t="shared" si="13"/>
        <v>23043.808124999996</v>
      </c>
    </row>
    <row r="105" spans="1:13" x14ac:dyDescent="0.35">
      <c r="A105" t="s">
        <v>127</v>
      </c>
      <c r="B105" t="s">
        <v>117</v>
      </c>
      <c r="C105" t="s">
        <v>15</v>
      </c>
      <c r="D105" t="s">
        <v>126</v>
      </c>
      <c r="E105" s="1">
        <v>13.35</v>
      </c>
      <c r="F105" s="2">
        <v>4634.25</v>
      </c>
      <c r="G105" s="7">
        <f t="shared" si="7"/>
        <v>61867.237499999996</v>
      </c>
      <c r="H105" s="7">
        <f t="shared" si="8"/>
        <v>23171.25</v>
      </c>
      <c r="I105" s="7">
        <f t="shared" si="9"/>
        <v>85038.487499999988</v>
      </c>
      <c r="J105" s="7">
        <f t="shared" si="10"/>
        <v>27.525000000000002</v>
      </c>
      <c r="K105" s="3">
        <f t="shared" si="11"/>
        <v>4634.25</v>
      </c>
      <c r="L105" s="1">
        <f t="shared" si="12"/>
        <v>127557.73125000001</v>
      </c>
      <c r="M105" s="7">
        <f t="shared" si="13"/>
        <v>42519.243750000023</v>
      </c>
    </row>
    <row r="106" spans="1:13" x14ac:dyDescent="0.35">
      <c r="A106" t="s">
        <v>128</v>
      </c>
      <c r="B106" t="s">
        <v>117</v>
      </c>
      <c r="C106" t="s">
        <v>15</v>
      </c>
      <c r="D106" t="s">
        <v>126</v>
      </c>
      <c r="E106" s="1">
        <v>4.4950000000000001</v>
      </c>
      <c r="F106" s="2">
        <v>4039</v>
      </c>
      <c r="G106" s="7">
        <f t="shared" si="7"/>
        <v>18155.305</v>
      </c>
      <c r="H106" s="7">
        <f t="shared" si="8"/>
        <v>20195</v>
      </c>
      <c r="I106" s="7">
        <f t="shared" si="9"/>
        <v>38350.305</v>
      </c>
      <c r="J106" s="7">
        <f t="shared" si="10"/>
        <v>14.242500000000001</v>
      </c>
      <c r="K106" s="3">
        <f t="shared" si="11"/>
        <v>4039</v>
      </c>
      <c r="L106" s="1">
        <f t="shared" si="12"/>
        <v>57525.457500000004</v>
      </c>
      <c r="M106" s="7">
        <f t="shared" si="13"/>
        <v>19175.152500000004</v>
      </c>
    </row>
    <row r="107" spans="1:13" x14ac:dyDescent="0.35">
      <c r="A107" t="s">
        <v>128</v>
      </c>
      <c r="B107" t="s">
        <v>117</v>
      </c>
      <c r="C107" t="s">
        <v>15</v>
      </c>
      <c r="D107" t="s">
        <v>126</v>
      </c>
      <c r="E107" s="1">
        <v>4.9450000000000003</v>
      </c>
      <c r="F107" s="2">
        <v>4594.25</v>
      </c>
      <c r="G107" s="7">
        <f t="shared" si="7"/>
        <v>22718.56625</v>
      </c>
      <c r="H107" s="7">
        <f t="shared" si="8"/>
        <v>22971.25</v>
      </c>
      <c r="I107" s="7">
        <f t="shared" si="9"/>
        <v>45689.816250000003</v>
      </c>
      <c r="J107" s="7">
        <f t="shared" si="10"/>
        <v>14.9175</v>
      </c>
      <c r="K107" s="3">
        <f t="shared" si="11"/>
        <v>4594.25</v>
      </c>
      <c r="L107" s="1">
        <f t="shared" si="12"/>
        <v>68534.724375000005</v>
      </c>
      <c r="M107" s="7">
        <f t="shared" si="13"/>
        <v>22844.908125000002</v>
      </c>
    </row>
    <row r="108" spans="1:13" x14ac:dyDescent="0.35">
      <c r="A108" t="s">
        <v>129</v>
      </c>
      <c r="B108" t="s">
        <v>113</v>
      </c>
      <c r="C108" t="s">
        <v>15</v>
      </c>
      <c r="D108" t="s">
        <v>16</v>
      </c>
      <c r="E108" s="1">
        <v>75.03</v>
      </c>
      <c r="F108" s="2">
        <v>4053.25</v>
      </c>
      <c r="G108" s="7">
        <f t="shared" si="7"/>
        <v>304115.34750000003</v>
      </c>
      <c r="H108" s="7">
        <f t="shared" si="8"/>
        <v>20266.25</v>
      </c>
      <c r="I108" s="7">
        <f t="shared" si="9"/>
        <v>324381.59750000003</v>
      </c>
      <c r="J108" s="7">
        <f t="shared" si="10"/>
        <v>120.045</v>
      </c>
      <c r="K108" s="3">
        <f t="shared" si="11"/>
        <v>4053.25</v>
      </c>
      <c r="L108" s="1">
        <f t="shared" si="12"/>
        <v>486572.39624999999</v>
      </c>
      <c r="M108" s="7">
        <f t="shared" si="13"/>
        <v>162190.79874999996</v>
      </c>
    </row>
    <row r="109" spans="1:13" x14ac:dyDescent="0.35">
      <c r="A109" t="s">
        <v>130</v>
      </c>
      <c r="B109" t="s">
        <v>113</v>
      </c>
      <c r="C109" t="s">
        <v>15</v>
      </c>
      <c r="D109" t="s">
        <v>16</v>
      </c>
      <c r="E109" s="1">
        <v>75.03</v>
      </c>
      <c r="F109" s="2">
        <v>3962</v>
      </c>
      <c r="G109" s="7">
        <f t="shared" si="7"/>
        <v>297268.86</v>
      </c>
      <c r="H109" s="7">
        <f t="shared" si="8"/>
        <v>19810</v>
      </c>
      <c r="I109" s="7">
        <f t="shared" si="9"/>
        <v>317078.86</v>
      </c>
      <c r="J109" s="7">
        <f t="shared" si="10"/>
        <v>120.045</v>
      </c>
      <c r="K109" s="3">
        <f t="shared" si="11"/>
        <v>3962</v>
      </c>
      <c r="L109" s="1">
        <f t="shared" si="12"/>
        <v>475618.29</v>
      </c>
      <c r="M109" s="7">
        <f t="shared" si="13"/>
        <v>158539.43</v>
      </c>
    </row>
    <row r="110" spans="1:13" x14ac:dyDescent="0.35">
      <c r="A110" t="s">
        <v>131</v>
      </c>
      <c r="B110" t="s">
        <v>132</v>
      </c>
      <c r="C110" t="s">
        <v>18</v>
      </c>
      <c r="D110" t="s">
        <v>133</v>
      </c>
      <c r="E110" s="1">
        <v>12.89</v>
      </c>
      <c r="F110" s="2">
        <v>4528.5</v>
      </c>
      <c r="G110" s="7">
        <f t="shared" si="7"/>
        <v>58372.365000000005</v>
      </c>
      <c r="H110" s="7">
        <f t="shared" si="8"/>
        <v>22642.5</v>
      </c>
      <c r="I110" s="7">
        <f t="shared" si="9"/>
        <v>81014.865000000005</v>
      </c>
      <c r="J110" s="7">
        <f t="shared" si="10"/>
        <v>26.835000000000001</v>
      </c>
      <c r="K110" s="3">
        <f t="shared" si="11"/>
        <v>4528.5</v>
      </c>
      <c r="L110" s="1">
        <f t="shared" si="12"/>
        <v>121522.2975</v>
      </c>
      <c r="M110" s="7">
        <f t="shared" si="13"/>
        <v>40507.432499999995</v>
      </c>
    </row>
    <row r="111" spans="1:13" x14ac:dyDescent="0.35">
      <c r="A111" t="s">
        <v>134</v>
      </c>
      <c r="B111" t="s">
        <v>117</v>
      </c>
      <c r="C111" t="s">
        <v>18</v>
      </c>
      <c r="D111" t="s">
        <v>135</v>
      </c>
      <c r="E111" s="1">
        <v>2.5775000000000001</v>
      </c>
      <c r="F111" s="2">
        <v>4688.75</v>
      </c>
      <c r="G111" s="7">
        <f t="shared" si="7"/>
        <v>12085.253125000001</v>
      </c>
      <c r="H111" s="7">
        <f t="shared" si="8"/>
        <v>23443.75</v>
      </c>
      <c r="I111" s="7">
        <f t="shared" si="9"/>
        <v>35529.003125000003</v>
      </c>
      <c r="J111" s="7">
        <f t="shared" si="10"/>
        <v>11.366250000000001</v>
      </c>
      <c r="K111" s="3">
        <f t="shared" si="11"/>
        <v>4688.75</v>
      </c>
      <c r="L111" s="1">
        <f t="shared" si="12"/>
        <v>53293.504687500004</v>
      </c>
      <c r="M111" s="7">
        <f t="shared" si="13"/>
        <v>17764.501562500001</v>
      </c>
    </row>
    <row r="112" spans="1:13" x14ac:dyDescent="0.35">
      <c r="A112" t="s">
        <v>136</v>
      </c>
      <c r="B112" t="s">
        <v>117</v>
      </c>
      <c r="C112" t="s">
        <v>18</v>
      </c>
      <c r="D112" t="s">
        <v>137</v>
      </c>
      <c r="E112" s="1">
        <v>2.0625</v>
      </c>
      <c r="F112" s="2">
        <v>4327.25</v>
      </c>
      <c r="G112" s="7">
        <f t="shared" si="7"/>
        <v>8924.953125</v>
      </c>
      <c r="H112" s="7">
        <f t="shared" si="8"/>
        <v>21636.25</v>
      </c>
      <c r="I112" s="7">
        <f t="shared" si="9"/>
        <v>30561.203125</v>
      </c>
      <c r="J112" s="7">
        <f t="shared" si="10"/>
        <v>10.59375</v>
      </c>
      <c r="K112" s="3">
        <f t="shared" si="11"/>
        <v>4327.25</v>
      </c>
      <c r="L112" s="1">
        <f t="shared" si="12"/>
        <v>45841.8046875</v>
      </c>
      <c r="M112" s="7">
        <f t="shared" si="13"/>
        <v>15280.6015625</v>
      </c>
    </row>
    <row r="113" spans="1:13" x14ac:dyDescent="0.35">
      <c r="A113" t="s">
        <v>138</v>
      </c>
      <c r="B113" t="s">
        <v>117</v>
      </c>
      <c r="C113" t="s">
        <v>18</v>
      </c>
      <c r="D113" t="s">
        <v>137</v>
      </c>
      <c r="E113" s="1">
        <v>2.5775000000000001</v>
      </c>
      <c r="F113" s="2">
        <v>3832</v>
      </c>
      <c r="G113" s="7">
        <f t="shared" si="7"/>
        <v>9876.9800000000014</v>
      </c>
      <c r="H113" s="7">
        <f t="shared" si="8"/>
        <v>19160</v>
      </c>
      <c r="I113" s="7">
        <f t="shared" si="9"/>
        <v>29036.980000000003</v>
      </c>
      <c r="J113" s="7">
        <f t="shared" si="10"/>
        <v>11.366250000000001</v>
      </c>
      <c r="K113" s="3">
        <f t="shared" si="11"/>
        <v>3832</v>
      </c>
      <c r="L113" s="1">
        <f t="shared" si="12"/>
        <v>43555.47</v>
      </c>
      <c r="M113" s="7">
        <f t="shared" si="13"/>
        <v>14518.489999999998</v>
      </c>
    </row>
    <row r="114" spans="1:13" x14ac:dyDescent="0.35">
      <c r="A114" t="s">
        <v>139</v>
      </c>
      <c r="B114" t="s">
        <v>117</v>
      </c>
      <c r="C114" t="s">
        <v>18</v>
      </c>
      <c r="D114" t="s">
        <v>140</v>
      </c>
      <c r="E114" s="1">
        <v>1.4424999999999999</v>
      </c>
      <c r="F114" s="2">
        <v>4076.25</v>
      </c>
      <c r="G114" s="7">
        <f t="shared" si="7"/>
        <v>5879.9906249999995</v>
      </c>
      <c r="H114" s="7">
        <f t="shared" si="8"/>
        <v>20381.25</v>
      </c>
      <c r="I114" s="7">
        <f t="shared" si="9"/>
        <v>26261.240624999999</v>
      </c>
      <c r="J114" s="7">
        <f t="shared" si="10"/>
        <v>9.6637500000000003</v>
      </c>
      <c r="K114" s="3">
        <f t="shared" si="11"/>
        <v>4076.25</v>
      </c>
      <c r="L114" s="1">
        <f t="shared" si="12"/>
        <v>39391.860937500001</v>
      </c>
      <c r="M114" s="7">
        <f t="shared" si="13"/>
        <v>13130.620312500003</v>
      </c>
    </row>
    <row r="115" spans="1:13" x14ac:dyDescent="0.35">
      <c r="A115" t="s">
        <v>141</v>
      </c>
      <c r="B115" t="s">
        <v>117</v>
      </c>
      <c r="C115" t="s">
        <v>18</v>
      </c>
      <c r="D115" t="s">
        <v>140</v>
      </c>
      <c r="E115" s="1">
        <v>3.6074999999999999</v>
      </c>
      <c r="F115" s="2">
        <v>3838</v>
      </c>
      <c r="G115" s="7">
        <f t="shared" si="7"/>
        <v>13845.584999999999</v>
      </c>
      <c r="H115" s="7">
        <f t="shared" si="8"/>
        <v>19190</v>
      </c>
      <c r="I115" s="7">
        <f t="shared" si="9"/>
        <v>33035.584999999999</v>
      </c>
      <c r="J115" s="7">
        <f t="shared" si="10"/>
        <v>12.911249999999999</v>
      </c>
      <c r="K115" s="3">
        <f t="shared" si="11"/>
        <v>3838</v>
      </c>
      <c r="L115" s="1">
        <f t="shared" si="12"/>
        <v>49553.377499999995</v>
      </c>
      <c r="M115" s="7">
        <f t="shared" si="13"/>
        <v>16517.792499999996</v>
      </c>
    </row>
    <row r="116" spans="1:13" x14ac:dyDescent="0.35">
      <c r="A116" t="s">
        <v>142</v>
      </c>
      <c r="B116" t="s">
        <v>117</v>
      </c>
      <c r="C116" t="s">
        <v>18</v>
      </c>
      <c r="D116" t="s">
        <v>140</v>
      </c>
      <c r="E116" s="1">
        <v>4.6399999999999997</v>
      </c>
      <c r="F116" s="2">
        <v>4785</v>
      </c>
      <c r="G116" s="7">
        <f t="shared" si="7"/>
        <v>22202.399999999998</v>
      </c>
      <c r="H116" s="7">
        <f t="shared" si="8"/>
        <v>23925</v>
      </c>
      <c r="I116" s="7">
        <f t="shared" si="9"/>
        <v>46127.399999999994</v>
      </c>
      <c r="J116" s="7">
        <f t="shared" si="10"/>
        <v>14.46</v>
      </c>
      <c r="K116" s="3">
        <f t="shared" si="11"/>
        <v>4785</v>
      </c>
      <c r="L116" s="1">
        <f t="shared" si="12"/>
        <v>69191.100000000006</v>
      </c>
      <c r="M116" s="7">
        <f t="shared" si="13"/>
        <v>23063.700000000012</v>
      </c>
    </row>
    <row r="117" spans="1:13" x14ac:dyDescent="0.35">
      <c r="A117" t="s">
        <v>143</v>
      </c>
      <c r="B117" t="s">
        <v>90</v>
      </c>
      <c r="C117" t="s">
        <v>52</v>
      </c>
      <c r="D117" t="s">
        <v>144</v>
      </c>
      <c r="E117" s="1">
        <v>9.2799999999999994</v>
      </c>
      <c r="F117" s="2">
        <v>4902</v>
      </c>
      <c r="G117" s="7">
        <f t="shared" si="7"/>
        <v>45490.559999999998</v>
      </c>
      <c r="H117" s="7">
        <f t="shared" si="8"/>
        <v>24510</v>
      </c>
      <c r="I117" s="7">
        <f t="shared" si="9"/>
        <v>70000.56</v>
      </c>
      <c r="J117" s="7">
        <f t="shared" si="10"/>
        <v>21.419999999999998</v>
      </c>
      <c r="K117" s="3">
        <f t="shared" si="11"/>
        <v>4902</v>
      </c>
      <c r="L117" s="1">
        <f t="shared" si="12"/>
        <v>105000.84</v>
      </c>
      <c r="M117" s="7">
        <f t="shared" si="13"/>
        <v>35000.28</v>
      </c>
    </row>
    <row r="118" spans="1:13" x14ac:dyDescent="0.35">
      <c r="A118" t="s">
        <v>145</v>
      </c>
      <c r="B118" t="s">
        <v>90</v>
      </c>
      <c r="C118" t="s">
        <v>52</v>
      </c>
      <c r="D118" t="s">
        <v>144</v>
      </c>
      <c r="E118" s="1">
        <v>9.2799999999999994</v>
      </c>
      <c r="F118" s="2">
        <v>4316.5</v>
      </c>
      <c r="G118" s="7">
        <f t="shared" si="7"/>
        <v>40057.119999999995</v>
      </c>
      <c r="H118" s="7">
        <f t="shared" si="8"/>
        <v>21582.5</v>
      </c>
      <c r="I118" s="7">
        <f t="shared" si="9"/>
        <v>61639.619999999995</v>
      </c>
      <c r="J118" s="7">
        <f t="shared" si="10"/>
        <v>21.419999999999998</v>
      </c>
      <c r="K118" s="3">
        <f t="shared" si="11"/>
        <v>4316.5</v>
      </c>
      <c r="L118" s="1">
        <f t="shared" si="12"/>
        <v>92459.43</v>
      </c>
      <c r="M118" s="7">
        <f t="shared" si="13"/>
        <v>30819.809999999998</v>
      </c>
    </row>
    <row r="119" spans="1:13" x14ac:dyDescent="0.35">
      <c r="A119" t="s">
        <v>146</v>
      </c>
      <c r="B119" t="s">
        <v>90</v>
      </c>
      <c r="C119" t="s">
        <v>52</v>
      </c>
      <c r="D119" t="s">
        <v>144</v>
      </c>
      <c r="E119" s="1">
        <v>9.2799999999999994</v>
      </c>
      <c r="F119" s="2">
        <v>4661.75</v>
      </c>
      <c r="G119" s="7">
        <f t="shared" si="7"/>
        <v>43261.039999999994</v>
      </c>
      <c r="H119" s="7">
        <f t="shared" si="8"/>
        <v>23308.75</v>
      </c>
      <c r="I119" s="7">
        <f t="shared" si="9"/>
        <v>66569.789999999994</v>
      </c>
      <c r="J119" s="7">
        <f t="shared" si="10"/>
        <v>21.419999999999998</v>
      </c>
      <c r="K119" s="3">
        <f t="shared" si="11"/>
        <v>4661.75</v>
      </c>
      <c r="L119" s="1">
        <f t="shared" si="12"/>
        <v>99854.684999999998</v>
      </c>
      <c r="M119" s="7">
        <f t="shared" si="13"/>
        <v>33284.895000000004</v>
      </c>
    </row>
    <row r="120" spans="1:13" x14ac:dyDescent="0.35">
      <c r="A120" t="s">
        <v>147</v>
      </c>
      <c r="B120" t="s">
        <v>84</v>
      </c>
      <c r="C120" t="s">
        <v>52</v>
      </c>
      <c r="D120" t="s">
        <v>148</v>
      </c>
      <c r="E120" s="1">
        <v>5.9375</v>
      </c>
      <c r="F120" s="2">
        <v>3794.25</v>
      </c>
      <c r="G120" s="7">
        <f t="shared" si="7"/>
        <v>22528.359375</v>
      </c>
      <c r="H120" s="7">
        <f t="shared" si="8"/>
        <v>18971.25</v>
      </c>
      <c r="I120" s="7">
        <f t="shared" si="9"/>
        <v>41499.609375</v>
      </c>
      <c r="J120" s="7">
        <f t="shared" si="10"/>
        <v>16.40625</v>
      </c>
      <c r="K120" s="3">
        <f t="shared" si="11"/>
        <v>3794.25</v>
      </c>
      <c r="L120" s="1">
        <f t="shared" si="12"/>
        <v>62249.4140625</v>
      </c>
      <c r="M120" s="7">
        <f t="shared" si="13"/>
        <v>20749.8046875</v>
      </c>
    </row>
    <row r="121" spans="1:13" x14ac:dyDescent="0.35">
      <c r="A121" t="s">
        <v>149</v>
      </c>
      <c r="B121" t="s">
        <v>84</v>
      </c>
      <c r="C121" t="s">
        <v>52</v>
      </c>
      <c r="D121" t="s">
        <v>148</v>
      </c>
      <c r="E121" s="1">
        <v>5.9375</v>
      </c>
      <c r="F121" s="2">
        <v>4813</v>
      </c>
      <c r="G121" s="7">
        <f t="shared" si="7"/>
        <v>28577.1875</v>
      </c>
      <c r="H121" s="7">
        <f t="shared" si="8"/>
        <v>24065</v>
      </c>
      <c r="I121" s="7">
        <f t="shared" si="9"/>
        <v>52642.1875</v>
      </c>
      <c r="J121" s="7">
        <f t="shared" si="10"/>
        <v>16.40625</v>
      </c>
      <c r="K121" s="3">
        <f t="shared" si="11"/>
        <v>4813</v>
      </c>
      <c r="L121" s="1">
        <f t="shared" si="12"/>
        <v>78963.28125</v>
      </c>
      <c r="M121" s="7">
        <f t="shared" si="13"/>
        <v>26321.09375</v>
      </c>
    </row>
    <row r="122" spans="1:13" x14ac:dyDescent="0.35">
      <c r="A122" t="s">
        <v>150</v>
      </c>
      <c r="B122" t="s">
        <v>84</v>
      </c>
      <c r="C122" t="s">
        <v>52</v>
      </c>
      <c r="D122" t="s">
        <v>148</v>
      </c>
      <c r="E122" s="1">
        <v>5.9375</v>
      </c>
      <c r="F122" s="2">
        <v>4655.75</v>
      </c>
      <c r="G122" s="7">
        <f t="shared" si="7"/>
        <v>27643.515625</v>
      </c>
      <c r="H122" s="7">
        <f t="shared" si="8"/>
        <v>23278.75</v>
      </c>
      <c r="I122" s="7">
        <f t="shared" si="9"/>
        <v>50922.265625</v>
      </c>
      <c r="J122" s="7">
        <f t="shared" si="10"/>
        <v>16.40625</v>
      </c>
      <c r="K122" s="3">
        <f t="shared" si="11"/>
        <v>4655.75</v>
      </c>
      <c r="L122" s="1">
        <f t="shared" si="12"/>
        <v>76383.3984375</v>
      </c>
      <c r="M122" s="7">
        <f t="shared" si="13"/>
        <v>25461.1328125</v>
      </c>
    </row>
    <row r="123" spans="1:13" x14ac:dyDescent="0.35">
      <c r="A123" t="s">
        <v>151</v>
      </c>
      <c r="B123" t="s">
        <v>117</v>
      </c>
      <c r="C123" t="s">
        <v>18</v>
      </c>
      <c r="D123" t="s">
        <v>152</v>
      </c>
      <c r="E123" s="1">
        <v>0.46750000000000003</v>
      </c>
      <c r="F123" s="2">
        <v>3845.5</v>
      </c>
      <c r="G123" s="7">
        <f t="shared" si="7"/>
        <v>1797.77125</v>
      </c>
      <c r="H123" s="7">
        <f t="shared" si="8"/>
        <v>19227.5</v>
      </c>
      <c r="I123" s="7">
        <f t="shared" si="9"/>
        <v>21025.271250000002</v>
      </c>
      <c r="J123" s="7">
        <f t="shared" si="10"/>
        <v>8.2012499999999999</v>
      </c>
      <c r="K123" s="3">
        <f t="shared" si="11"/>
        <v>3845.5</v>
      </c>
      <c r="L123" s="1">
        <f t="shared" si="12"/>
        <v>31537.906875000001</v>
      </c>
      <c r="M123" s="7">
        <f t="shared" si="13"/>
        <v>10512.635624999999</v>
      </c>
    </row>
    <row r="124" spans="1:13" x14ac:dyDescent="0.35">
      <c r="A124" t="s">
        <v>153</v>
      </c>
      <c r="B124" t="s">
        <v>117</v>
      </c>
      <c r="C124" t="s">
        <v>18</v>
      </c>
      <c r="D124" t="s">
        <v>152</v>
      </c>
      <c r="E124" s="1">
        <v>0.93500000000000005</v>
      </c>
      <c r="F124" s="2">
        <v>4382.75</v>
      </c>
      <c r="G124" s="7">
        <f t="shared" si="7"/>
        <v>4097.8712500000001</v>
      </c>
      <c r="H124" s="7">
        <f t="shared" si="8"/>
        <v>21913.75</v>
      </c>
      <c r="I124" s="7">
        <f t="shared" si="9"/>
        <v>26011.62125</v>
      </c>
      <c r="J124" s="7">
        <f t="shared" si="10"/>
        <v>8.9024999999999999</v>
      </c>
      <c r="K124" s="3">
        <f t="shared" si="11"/>
        <v>4382.75</v>
      </c>
      <c r="L124" s="1">
        <f t="shared" si="12"/>
        <v>39017.431875000002</v>
      </c>
      <c r="M124" s="7">
        <f t="shared" si="13"/>
        <v>13005.810625000002</v>
      </c>
    </row>
    <row r="125" spans="1:13" x14ac:dyDescent="0.35">
      <c r="A125" t="s">
        <v>154</v>
      </c>
      <c r="B125" t="s">
        <v>117</v>
      </c>
      <c r="C125" t="s">
        <v>18</v>
      </c>
      <c r="D125" t="s">
        <v>152</v>
      </c>
      <c r="E125" s="1">
        <v>0.84</v>
      </c>
      <c r="F125" s="2">
        <v>3761.25</v>
      </c>
      <c r="G125" s="7">
        <f t="shared" si="7"/>
        <v>3159.45</v>
      </c>
      <c r="H125" s="7">
        <f t="shared" si="8"/>
        <v>18806.25</v>
      </c>
      <c r="I125" s="7">
        <f t="shared" si="9"/>
        <v>21965.7</v>
      </c>
      <c r="J125" s="7">
        <f t="shared" si="10"/>
        <v>8.76</v>
      </c>
      <c r="K125" s="3">
        <f t="shared" si="11"/>
        <v>3761.25</v>
      </c>
      <c r="L125" s="1">
        <f t="shared" si="12"/>
        <v>32948.549999999996</v>
      </c>
      <c r="M125" s="7">
        <f t="shared" si="13"/>
        <v>10982.849999999995</v>
      </c>
    </row>
    <row r="126" spans="1:13" x14ac:dyDescent="0.35">
      <c r="A126" t="s">
        <v>155</v>
      </c>
      <c r="B126" t="s">
        <v>117</v>
      </c>
      <c r="C126" t="s">
        <v>18</v>
      </c>
      <c r="D126" t="s">
        <v>156</v>
      </c>
      <c r="E126" s="1">
        <v>0.215</v>
      </c>
      <c r="F126" s="2">
        <v>3963</v>
      </c>
      <c r="G126" s="7">
        <f t="shared" si="7"/>
        <v>852.04499999999996</v>
      </c>
      <c r="H126" s="7">
        <f t="shared" si="8"/>
        <v>19815</v>
      </c>
      <c r="I126" s="7">
        <f t="shared" si="9"/>
        <v>20667.044999999998</v>
      </c>
      <c r="J126" s="7">
        <f t="shared" si="10"/>
        <v>7.8224999999999998</v>
      </c>
      <c r="K126" s="3">
        <f t="shared" si="11"/>
        <v>3963</v>
      </c>
      <c r="L126" s="1">
        <f t="shared" si="12"/>
        <v>31000.567499999997</v>
      </c>
      <c r="M126" s="7">
        <f t="shared" si="13"/>
        <v>10333.522499999999</v>
      </c>
    </row>
    <row r="127" spans="1:13" x14ac:dyDescent="0.35">
      <c r="A127" t="s">
        <v>157</v>
      </c>
      <c r="B127" t="s">
        <v>86</v>
      </c>
      <c r="C127" t="s">
        <v>52</v>
      </c>
      <c r="D127" t="s">
        <v>87</v>
      </c>
      <c r="E127" s="1">
        <v>0.84</v>
      </c>
      <c r="F127" s="2">
        <v>4890.25</v>
      </c>
      <c r="G127" s="7">
        <f t="shared" si="7"/>
        <v>4107.8099999999995</v>
      </c>
      <c r="H127" s="7">
        <f t="shared" si="8"/>
        <v>24451.25</v>
      </c>
      <c r="I127" s="7">
        <f t="shared" si="9"/>
        <v>28559.059999999998</v>
      </c>
      <c r="J127" s="7">
        <f t="shared" si="10"/>
        <v>8.76</v>
      </c>
      <c r="K127" s="3">
        <f t="shared" si="11"/>
        <v>4890.25</v>
      </c>
      <c r="L127" s="1">
        <f t="shared" si="12"/>
        <v>42838.59</v>
      </c>
      <c r="M127" s="7">
        <f t="shared" si="13"/>
        <v>14279.529999999999</v>
      </c>
    </row>
    <row r="128" spans="1:13" x14ac:dyDescent="0.35">
      <c r="A128" t="s">
        <v>158</v>
      </c>
      <c r="B128" t="s">
        <v>86</v>
      </c>
      <c r="C128" t="s">
        <v>52</v>
      </c>
      <c r="D128" t="s">
        <v>87</v>
      </c>
      <c r="E128" s="1">
        <v>0.84</v>
      </c>
      <c r="F128" s="2">
        <v>4731.25</v>
      </c>
      <c r="G128" s="7">
        <f t="shared" si="7"/>
        <v>3974.25</v>
      </c>
      <c r="H128" s="7">
        <f t="shared" si="8"/>
        <v>23656.25</v>
      </c>
      <c r="I128" s="7">
        <f t="shared" si="9"/>
        <v>27630.5</v>
      </c>
      <c r="J128" s="7">
        <f t="shared" si="10"/>
        <v>8.76</v>
      </c>
      <c r="K128" s="3">
        <f t="shared" si="11"/>
        <v>4731.25</v>
      </c>
      <c r="L128" s="1">
        <f t="shared" si="12"/>
        <v>41445.75</v>
      </c>
      <c r="M128" s="7">
        <f t="shared" si="13"/>
        <v>13815.25</v>
      </c>
    </row>
    <row r="129" spans="1:13" x14ac:dyDescent="0.35">
      <c r="A129" t="s">
        <v>159</v>
      </c>
      <c r="B129" t="s">
        <v>117</v>
      </c>
      <c r="C129" t="s">
        <v>18</v>
      </c>
      <c r="D129" t="s">
        <v>160</v>
      </c>
      <c r="E129" s="1">
        <v>11.22</v>
      </c>
      <c r="F129" s="2">
        <v>4993.25</v>
      </c>
      <c r="G129" s="7">
        <f t="shared" si="7"/>
        <v>56024.265000000007</v>
      </c>
      <c r="H129" s="7">
        <f t="shared" si="8"/>
        <v>24966.25</v>
      </c>
      <c r="I129" s="7">
        <f t="shared" si="9"/>
        <v>80990.515000000014</v>
      </c>
      <c r="J129" s="7">
        <f t="shared" si="10"/>
        <v>24.33</v>
      </c>
      <c r="K129" s="3">
        <f t="shared" si="11"/>
        <v>4993.25</v>
      </c>
      <c r="L129" s="1">
        <f t="shared" si="12"/>
        <v>121485.77249999999</v>
      </c>
      <c r="M129" s="7">
        <f t="shared" si="13"/>
        <v>40495.257499999978</v>
      </c>
    </row>
    <row r="130" spans="1:13" x14ac:dyDescent="0.35">
      <c r="A130" t="s">
        <v>161</v>
      </c>
      <c r="B130" t="s">
        <v>117</v>
      </c>
      <c r="C130" t="s">
        <v>18</v>
      </c>
      <c r="D130" t="s">
        <v>162</v>
      </c>
      <c r="E130" s="1">
        <v>0.74250000000000005</v>
      </c>
      <c r="F130" s="2">
        <v>4539.75</v>
      </c>
      <c r="G130" s="7">
        <f t="shared" si="7"/>
        <v>3370.7643750000002</v>
      </c>
      <c r="H130" s="7">
        <f t="shared" si="8"/>
        <v>22698.75</v>
      </c>
      <c r="I130" s="7">
        <f t="shared" si="9"/>
        <v>26069.514374999999</v>
      </c>
      <c r="J130" s="7">
        <f t="shared" si="10"/>
        <v>8.6137499999999996</v>
      </c>
      <c r="K130" s="3">
        <f t="shared" si="11"/>
        <v>4539.75</v>
      </c>
      <c r="L130" s="1">
        <f t="shared" si="12"/>
        <v>39104.271562499998</v>
      </c>
      <c r="M130" s="7">
        <f t="shared" si="13"/>
        <v>13034.757187499999</v>
      </c>
    </row>
    <row r="131" spans="1:13" x14ac:dyDescent="0.35">
      <c r="A131" t="s">
        <v>163</v>
      </c>
      <c r="B131" t="s">
        <v>117</v>
      </c>
      <c r="C131" t="s">
        <v>18</v>
      </c>
      <c r="D131" t="s">
        <v>164</v>
      </c>
      <c r="E131" s="1">
        <v>2.0550000000000002</v>
      </c>
      <c r="F131" s="2">
        <v>3829</v>
      </c>
      <c r="G131" s="7">
        <f t="shared" si="7"/>
        <v>7868.5950000000003</v>
      </c>
      <c r="H131" s="7">
        <f t="shared" si="8"/>
        <v>19145</v>
      </c>
      <c r="I131" s="7">
        <f t="shared" si="9"/>
        <v>27013.595000000001</v>
      </c>
      <c r="J131" s="7">
        <f t="shared" si="10"/>
        <v>10.5825</v>
      </c>
      <c r="K131" s="3">
        <f t="shared" si="11"/>
        <v>3829</v>
      </c>
      <c r="L131" s="1">
        <f t="shared" si="12"/>
        <v>40520.392500000002</v>
      </c>
      <c r="M131" s="7">
        <f t="shared" si="13"/>
        <v>13506.797500000001</v>
      </c>
    </row>
    <row r="132" spans="1:13" x14ac:dyDescent="0.35">
      <c r="A132" t="s">
        <v>165</v>
      </c>
      <c r="B132" t="s">
        <v>117</v>
      </c>
      <c r="C132" t="s">
        <v>18</v>
      </c>
      <c r="D132" t="s">
        <v>166</v>
      </c>
      <c r="E132" s="1">
        <v>14.8675</v>
      </c>
      <c r="F132" s="2">
        <v>4127.75</v>
      </c>
      <c r="G132" s="7">
        <f t="shared" si="7"/>
        <v>61369.323124999995</v>
      </c>
      <c r="H132" s="7">
        <f t="shared" si="8"/>
        <v>20638.75</v>
      </c>
      <c r="I132" s="7">
        <f t="shared" si="9"/>
        <v>82008.073124999995</v>
      </c>
      <c r="J132" s="7">
        <f t="shared" si="10"/>
        <v>29.80125</v>
      </c>
      <c r="K132" s="3">
        <f t="shared" si="11"/>
        <v>4127.75</v>
      </c>
      <c r="L132" s="1">
        <f t="shared" si="12"/>
        <v>123012.10968749999</v>
      </c>
      <c r="M132" s="7">
        <f t="shared" si="13"/>
        <v>41004.036562499998</v>
      </c>
    </row>
    <row r="133" spans="1:13" x14ac:dyDescent="0.35">
      <c r="A133" t="s">
        <v>167</v>
      </c>
      <c r="B133" t="s">
        <v>98</v>
      </c>
      <c r="C133" t="s">
        <v>18</v>
      </c>
      <c r="D133" t="s">
        <v>168</v>
      </c>
      <c r="E133" s="1">
        <v>5.1425000000000001</v>
      </c>
      <c r="F133" s="2">
        <v>4839.25</v>
      </c>
      <c r="G133" s="7">
        <f t="shared" ref="G133:G196" si="14">F133*E133</f>
        <v>24885.843124999999</v>
      </c>
      <c r="H133" s="7">
        <f t="shared" ref="H133:H196" si="15">F133*$P$1</f>
        <v>24196.25</v>
      </c>
      <c r="I133" s="7">
        <f t="shared" ref="I133:I196" si="16">G133+H133</f>
        <v>49082.093124999999</v>
      </c>
      <c r="J133" s="7">
        <f t="shared" ref="J133:J196" si="17">(E133+$P$1)*1.5</f>
        <v>15.213750000000001</v>
      </c>
      <c r="K133" s="3">
        <f t="shared" ref="K133:K196" si="18">F133</f>
        <v>4839.25</v>
      </c>
      <c r="L133" s="1">
        <f t="shared" ref="L133:L196" si="19">K133*J133</f>
        <v>73623.139687500006</v>
      </c>
      <c r="M133" s="7">
        <f t="shared" ref="M133:M196" si="20">L133-I133</f>
        <v>24541.046562500007</v>
      </c>
    </row>
    <row r="134" spans="1:13" x14ac:dyDescent="0.35">
      <c r="A134" t="s">
        <v>169</v>
      </c>
      <c r="B134" t="s">
        <v>113</v>
      </c>
      <c r="C134" t="s">
        <v>52</v>
      </c>
      <c r="D134" t="s">
        <v>93</v>
      </c>
      <c r="E134" s="1">
        <v>10.3925</v>
      </c>
      <c r="F134" s="2">
        <v>4554.5</v>
      </c>
      <c r="G134" s="7">
        <f t="shared" si="14"/>
        <v>47332.641250000001</v>
      </c>
      <c r="H134" s="7">
        <f t="shared" si="15"/>
        <v>22772.5</v>
      </c>
      <c r="I134" s="7">
        <f t="shared" si="16"/>
        <v>70105.141250000001</v>
      </c>
      <c r="J134" s="7">
        <f t="shared" si="17"/>
        <v>23.088750000000001</v>
      </c>
      <c r="K134" s="3">
        <f t="shared" si="18"/>
        <v>4554.5</v>
      </c>
      <c r="L134" s="1">
        <f t="shared" si="19"/>
        <v>105157.71187500001</v>
      </c>
      <c r="M134" s="7">
        <f t="shared" si="20"/>
        <v>35052.570625000008</v>
      </c>
    </row>
    <row r="135" spans="1:13" x14ac:dyDescent="0.35">
      <c r="A135" t="s">
        <v>170</v>
      </c>
      <c r="B135" t="s">
        <v>113</v>
      </c>
      <c r="C135" t="s">
        <v>52</v>
      </c>
      <c r="D135" t="s">
        <v>93</v>
      </c>
      <c r="E135" s="1">
        <v>10.3925</v>
      </c>
      <c r="F135" s="2">
        <v>4071</v>
      </c>
      <c r="G135" s="7">
        <f t="shared" si="14"/>
        <v>42307.8675</v>
      </c>
      <c r="H135" s="7">
        <f t="shared" si="15"/>
        <v>20355</v>
      </c>
      <c r="I135" s="7">
        <f t="shared" si="16"/>
        <v>62662.8675</v>
      </c>
      <c r="J135" s="7">
        <f t="shared" si="17"/>
        <v>23.088750000000001</v>
      </c>
      <c r="K135" s="3">
        <f t="shared" si="18"/>
        <v>4071</v>
      </c>
      <c r="L135" s="1">
        <f t="shared" si="19"/>
        <v>93994.301250000004</v>
      </c>
      <c r="M135" s="7">
        <f t="shared" si="20"/>
        <v>31331.433750000004</v>
      </c>
    </row>
    <row r="136" spans="1:13" x14ac:dyDescent="0.35">
      <c r="A136" t="s">
        <v>171</v>
      </c>
      <c r="B136" t="s">
        <v>113</v>
      </c>
      <c r="C136" t="s">
        <v>52</v>
      </c>
      <c r="D136" t="s">
        <v>93</v>
      </c>
      <c r="E136" s="1">
        <v>10.3925</v>
      </c>
      <c r="F136" s="2">
        <v>4083</v>
      </c>
      <c r="G136" s="7">
        <f t="shared" si="14"/>
        <v>42432.577499999999</v>
      </c>
      <c r="H136" s="7">
        <f t="shared" si="15"/>
        <v>20415</v>
      </c>
      <c r="I136" s="7">
        <f t="shared" si="16"/>
        <v>62847.577499999999</v>
      </c>
      <c r="J136" s="7">
        <f t="shared" si="17"/>
        <v>23.088750000000001</v>
      </c>
      <c r="K136" s="3">
        <f t="shared" si="18"/>
        <v>4083</v>
      </c>
      <c r="L136" s="1">
        <f t="shared" si="19"/>
        <v>94271.366250000006</v>
      </c>
      <c r="M136" s="7">
        <f t="shared" si="20"/>
        <v>31423.788750000007</v>
      </c>
    </row>
    <row r="137" spans="1:13" x14ac:dyDescent="0.35">
      <c r="A137" t="s">
        <v>172</v>
      </c>
      <c r="B137" t="s">
        <v>113</v>
      </c>
      <c r="C137" t="s">
        <v>52</v>
      </c>
      <c r="D137" t="s">
        <v>93</v>
      </c>
      <c r="E137" s="1">
        <v>10.3925</v>
      </c>
      <c r="F137" s="2">
        <v>3916.25</v>
      </c>
      <c r="G137" s="7">
        <f t="shared" si="14"/>
        <v>40699.628125000003</v>
      </c>
      <c r="H137" s="7">
        <f t="shared" si="15"/>
        <v>19581.25</v>
      </c>
      <c r="I137" s="7">
        <f t="shared" si="16"/>
        <v>60280.878125000003</v>
      </c>
      <c r="J137" s="7">
        <f t="shared" si="17"/>
        <v>23.088750000000001</v>
      </c>
      <c r="K137" s="3">
        <f t="shared" si="18"/>
        <v>3916.25</v>
      </c>
      <c r="L137" s="1">
        <f t="shared" si="19"/>
        <v>90421.317187499997</v>
      </c>
      <c r="M137" s="7">
        <f t="shared" si="20"/>
        <v>30140.439062499994</v>
      </c>
    </row>
    <row r="138" spans="1:13" x14ac:dyDescent="0.35">
      <c r="A138" t="s">
        <v>173</v>
      </c>
      <c r="B138" t="s">
        <v>113</v>
      </c>
      <c r="C138" t="s">
        <v>15</v>
      </c>
      <c r="D138" t="s">
        <v>174</v>
      </c>
      <c r="E138" s="1">
        <v>150.435</v>
      </c>
      <c r="F138" s="2">
        <v>4224.25</v>
      </c>
      <c r="G138" s="7">
        <f t="shared" si="14"/>
        <v>635475.04874999996</v>
      </c>
      <c r="H138" s="7">
        <f t="shared" si="15"/>
        <v>21121.25</v>
      </c>
      <c r="I138" s="7">
        <f t="shared" si="16"/>
        <v>656596.29874999996</v>
      </c>
      <c r="J138" s="7">
        <f t="shared" si="17"/>
        <v>233.1525</v>
      </c>
      <c r="K138" s="3">
        <f t="shared" si="18"/>
        <v>4224.25</v>
      </c>
      <c r="L138" s="1">
        <f t="shared" si="19"/>
        <v>984894.448125</v>
      </c>
      <c r="M138" s="7">
        <f t="shared" si="20"/>
        <v>328298.14937500004</v>
      </c>
    </row>
    <row r="139" spans="1:13" x14ac:dyDescent="0.35">
      <c r="A139" t="s">
        <v>175</v>
      </c>
      <c r="B139" t="s">
        <v>113</v>
      </c>
      <c r="C139" t="s">
        <v>15</v>
      </c>
      <c r="D139" t="s">
        <v>174</v>
      </c>
      <c r="E139" s="1">
        <v>49.962499999999999</v>
      </c>
      <c r="F139" s="2">
        <v>3925.25</v>
      </c>
      <c r="G139" s="7">
        <f t="shared" si="14"/>
        <v>196115.30312500001</v>
      </c>
      <c r="H139" s="7">
        <f t="shared" si="15"/>
        <v>19626.25</v>
      </c>
      <c r="I139" s="7">
        <f t="shared" si="16"/>
        <v>215741.55312500001</v>
      </c>
      <c r="J139" s="7">
        <f t="shared" si="17"/>
        <v>82.443749999999994</v>
      </c>
      <c r="K139" s="3">
        <f t="shared" si="18"/>
        <v>3925.25</v>
      </c>
      <c r="L139" s="1">
        <f t="shared" si="19"/>
        <v>323612.32968749997</v>
      </c>
      <c r="M139" s="7">
        <f t="shared" si="20"/>
        <v>107870.77656249996</v>
      </c>
    </row>
    <row r="140" spans="1:13" x14ac:dyDescent="0.35">
      <c r="A140" t="s">
        <v>176</v>
      </c>
      <c r="B140" t="s">
        <v>113</v>
      </c>
      <c r="C140" t="s">
        <v>15</v>
      </c>
      <c r="D140" t="s">
        <v>174</v>
      </c>
      <c r="E140" s="1">
        <v>150.435</v>
      </c>
      <c r="F140" s="2">
        <v>4252.75</v>
      </c>
      <c r="G140" s="7">
        <f t="shared" si="14"/>
        <v>639762.44625000004</v>
      </c>
      <c r="H140" s="7">
        <f t="shared" si="15"/>
        <v>21263.75</v>
      </c>
      <c r="I140" s="7">
        <f t="shared" si="16"/>
        <v>661026.19625000004</v>
      </c>
      <c r="J140" s="7">
        <f t="shared" si="17"/>
        <v>233.1525</v>
      </c>
      <c r="K140" s="3">
        <f t="shared" si="18"/>
        <v>4252.75</v>
      </c>
      <c r="L140" s="1">
        <f t="shared" si="19"/>
        <v>991539.29437500006</v>
      </c>
      <c r="M140" s="7">
        <f t="shared" si="20"/>
        <v>330513.09812500002</v>
      </c>
    </row>
    <row r="141" spans="1:13" x14ac:dyDescent="0.35">
      <c r="A141" t="s">
        <v>177</v>
      </c>
      <c r="B141" t="s">
        <v>113</v>
      </c>
      <c r="C141" t="s">
        <v>15</v>
      </c>
      <c r="D141" t="s">
        <v>174</v>
      </c>
      <c r="E141" s="1">
        <v>150.435</v>
      </c>
      <c r="F141" s="2">
        <v>4308.25</v>
      </c>
      <c r="G141" s="7">
        <f t="shared" si="14"/>
        <v>648111.58875</v>
      </c>
      <c r="H141" s="7">
        <f t="shared" si="15"/>
        <v>21541.25</v>
      </c>
      <c r="I141" s="7">
        <f t="shared" si="16"/>
        <v>669652.83875</v>
      </c>
      <c r="J141" s="7">
        <f t="shared" si="17"/>
        <v>233.1525</v>
      </c>
      <c r="K141" s="3">
        <f t="shared" si="18"/>
        <v>4308.25</v>
      </c>
      <c r="L141" s="1">
        <f t="shared" si="19"/>
        <v>1004479.2581250001</v>
      </c>
      <c r="M141" s="7">
        <f t="shared" si="20"/>
        <v>334826.41937500006</v>
      </c>
    </row>
    <row r="142" spans="1:13" x14ac:dyDescent="0.35">
      <c r="A142" t="s">
        <v>178</v>
      </c>
      <c r="B142" t="s">
        <v>113</v>
      </c>
      <c r="C142" t="s">
        <v>15</v>
      </c>
      <c r="D142" t="s">
        <v>174</v>
      </c>
      <c r="E142" s="1">
        <v>150.435</v>
      </c>
      <c r="F142" s="2">
        <v>3813</v>
      </c>
      <c r="G142" s="7">
        <f t="shared" si="14"/>
        <v>573608.65500000003</v>
      </c>
      <c r="H142" s="7">
        <f t="shared" si="15"/>
        <v>19065</v>
      </c>
      <c r="I142" s="7">
        <f t="shared" si="16"/>
        <v>592673.65500000003</v>
      </c>
      <c r="J142" s="7">
        <f t="shared" si="17"/>
        <v>233.1525</v>
      </c>
      <c r="K142" s="3">
        <f t="shared" si="18"/>
        <v>3813</v>
      </c>
      <c r="L142" s="1">
        <f t="shared" si="19"/>
        <v>889010.48250000004</v>
      </c>
      <c r="M142" s="7">
        <f t="shared" si="20"/>
        <v>296336.82750000001</v>
      </c>
    </row>
    <row r="143" spans="1:13" x14ac:dyDescent="0.35">
      <c r="A143" t="s">
        <v>179</v>
      </c>
      <c r="B143" t="s">
        <v>98</v>
      </c>
      <c r="C143" t="s">
        <v>15</v>
      </c>
      <c r="D143" t="s">
        <v>180</v>
      </c>
      <c r="E143" s="1">
        <v>13.4825</v>
      </c>
      <c r="F143" s="2">
        <v>4725.5</v>
      </c>
      <c r="G143" s="7">
        <f t="shared" si="14"/>
        <v>63711.553749999999</v>
      </c>
      <c r="H143" s="7">
        <f t="shared" si="15"/>
        <v>23627.5</v>
      </c>
      <c r="I143" s="7">
        <f t="shared" si="16"/>
        <v>87339.053749999992</v>
      </c>
      <c r="J143" s="7">
        <f t="shared" si="17"/>
        <v>27.723750000000003</v>
      </c>
      <c r="K143" s="3">
        <f t="shared" si="18"/>
        <v>4725.5</v>
      </c>
      <c r="L143" s="1">
        <f t="shared" si="19"/>
        <v>131008.58062500002</v>
      </c>
      <c r="M143" s="7">
        <f t="shared" si="20"/>
        <v>43669.526875000025</v>
      </c>
    </row>
    <row r="144" spans="1:13" x14ac:dyDescent="0.35">
      <c r="A144" t="s">
        <v>181</v>
      </c>
      <c r="B144" t="s">
        <v>84</v>
      </c>
      <c r="C144" t="s">
        <v>15</v>
      </c>
      <c r="D144" t="s">
        <v>174</v>
      </c>
      <c r="E144" s="1">
        <v>49.962499999999999</v>
      </c>
      <c r="F144" s="2">
        <v>4888</v>
      </c>
      <c r="G144" s="7">
        <f t="shared" si="14"/>
        <v>244216.69999999998</v>
      </c>
      <c r="H144" s="7">
        <f t="shared" si="15"/>
        <v>24440</v>
      </c>
      <c r="I144" s="7">
        <f t="shared" si="16"/>
        <v>268656.69999999995</v>
      </c>
      <c r="J144" s="7">
        <f t="shared" si="17"/>
        <v>82.443749999999994</v>
      </c>
      <c r="K144" s="3">
        <f t="shared" si="18"/>
        <v>4888</v>
      </c>
      <c r="L144" s="1">
        <f t="shared" si="19"/>
        <v>402985.05</v>
      </c>
      <c r="M144" s="7">
        <f t="shared" si="20"/>
        <v>134328.35000000003</v>
      </c>
    </row>
    <row r="145" spans="1:13" x14ac:dyDescent="0.35">
      <c r="A145" t="s">
        <v>182</v>
      </c>
      <c r="B145" t="s">
        <v>98</v>
      </c>
      <c r="C145" t="s">
        <v>15</v>
      </c>
      <c r="D145" t="s">
        <v>22</v>
      </c>
      <c r="E145" s="1">
        <v>49.844999999999999</v>
      </c>
      <c r="F145" s="2">
        <v>4977.25</v>
      </c>
      <c r="G145" s="7">
        <f t="shared" si="14"/>
        <v>248091.02625</v>
      </c>
      <c r="H145" s="7">
        <f t="shared" si="15"/>
        <v>24886.25</v>
      </c>
      <c r="I145" s="7">
        <f t="shared" si="16"/>
        <v>272977.27625</v>
      </c>
      <c r="J145" s="7">
        <f t="shared" si="17"/>
        <v>82.267499999999998</v>
      </c>
      <c r="K145" s="3">
        <f t="shared" si="18"/>
        <v>4977.25</v>
      </c>
      <c r="L145" s="1">
        <f t="shared" si="19"/>
        <v>409465.91437499999</v>
      </c>
      <c r="M145" s="7">
        <f t="shared" si="20"/>
        <v>136488.638125</v>
      </c>
    </row>
    <row r="146" spans="1:13" x14ac:dyDescent="0.35">
      <c r="A146" t="s">
        <v>183</v>
      </c>
      <c r="B146" t="s">
        <v>98</v>
      </c>
      <c r="C146" t="s">
        <v>15</v>
      </c>
      <c r="D146" t="s">
        <v>22</v>
      </c>
      <c r="E146" s="1">
        <v>49.844999999999999</v>
      </c>
      <c r="F146" s="2">
        <v>4607.5</v>
      </c>
      <c r="G146" s="7">
        <f t="shared" si="14"/>
        <v>229660.83749999999</v>
      </c>
      <c r="H146" s="7">
        <f t="shared" si="15"/>
        <v>23037.5</v>
      </c>
      <c r="I146" s="7">
        <f t="shared" si="16"/>
        <v>252698.33749999999</v>
      </c>
      <c r="J146" s="7">
        <f t="shared" si="17"/>
        <v>82.267499999999998</v>
      </c>
      <c r="K146" s="3">
        <f t="shared" si="18"/>
        <v>4607.5</v>
      </c>
      <c r="L146" s="1">
        <f t="shared" si="19"/>
        <v>379047.50624999998</v>
      </c>
      <c r="M146" s="7">
        <f t="shared" si="20"/>
        <v>126349.16874999998</v>
      </c>
    </row>
    <row r="147" spans="1:13" x14ac:dyDescent="0.35">
      <c r="A147" t="s">
        <v>184</v>
      </c>
      <c r="B147" t="s">
        <v>98</v>
      </c>
      <c r="C147" t="s">
        <v>15</v>
      </c>
      <c r="D147" t="s">
        <v>22</v>
      </c>
      <c r="E147" s="1">
        <v>49.844999999999999</v>
      </c>
      <c r="F147" s="2">
        <v>4099.75</v>
      </c>
      <c r="G147" s="7">
        <f t="shared" si="14"/>
        <v>204352.03875000001</v>
      </c>
      <c r="H147" s="7">
        <f t="shared" si="15"/>
        <v>20498.75</v>
      </c>
      <c r="I147" s="7">
        <f t="shared" si="16"/>
        <v>224850.78875000001</v>
      </c>
      <c r="J147" s="7">
        <f t="shared" si="17"/>
        <v>82.267499999999998</v>
      </c>
      <c r="K147" s="3">
        <f t="shared" si="18"/>
        <v>4099.75</v>
      </c>
      <c r="L147" s="1">
        <f t="shared" si="19"/>
        <v>337276.18312499998</v>
      </c>
      <c r="M147" s="7">
        <f t="shared" si="20"/>
        <v>112425.39437499997</v>
      </c>
    </row>
    <row r="148" spans="1:13" x14ac:dyDescent="0.35">
      <c r="A148" t="s">
        <v>185</v>
      </c>
      <c r="B148" t="s">
        <v>98</v>
      </c>
      <c r="C148" t="s">
        <v>15</v>
      </c>
      <c r="D148" t="s">
        <v>186</v>
      </c>
      <c r="E148" s="1">
        <v>11.8225</v>
      </c>
      <c r="F148" s="2">
        <v>3897</v>
      </c>
      <c r="G148" s="7">
        <f t="shared" si="14"/>
        <v>46072.282500000001</v>
      </c>
      <c r="H148" s="7">
        <f t="shared" si="15"/>
        <v>19485</v>
      </c>
      <c r="I148" s="7">
        <f t="shared" si="16"/>
        <v>65557.282500000001</v>
      </c>
      <c r="J148" s="7">
        <f t="shared" si="17"/>
        <v>25.233749999999997</v>
      </c>
      <c r="K148" s="3">
        <f t="shared" si="18"/>
        <v>3897</v>
      </c>
      <c r="L148" s="1">
        <f t="shared" si="19"/>
        <v>98335.923749999987</v>
      </c>
      <c r="M148" s="7">
        <f t="shared" si="20"/>
        <v>32778.641249999986</v>
      </c>
    </row>
    <row r="149" spans="1:13" x14ac:dyDescent="0.35">
      <c r="A149" t="s">
        <v>187</v>
      </c>
      <c r="B149" t="s">
        <v>117</v>
      </c>
      <c r="C149" t="s">
        <v>15</v>
      </c>
      <c r="D149" t="s">
        <v>188</v>
      </c>
      <c r="E149" s="1">
        <v>3.01</v>
      </c>
      <c r="F149" s="2">
        <v>4918.25</v>
      </c>
      <c r="G149" s="7">
        <f t="shared" si="14"/>
        <v>14803.932499999999</v>
      </c>
      <c r="H149" s="7">
        <f t="shared" si="15"/>
        <v>24591.25</v>
      </c>
      <c r="I149" s="7">
        <f t="shared" si="16"/>
        <v>39395.182499999995</v>
      </c>
      <c r="J149" s="7">
        <f t="shared" si="17"/>
        <v>12.015000000000001</v>
      </c>
      <c r="K149" s="3">
        <f t="shared" si="18"/>
        <v>4918.25</v>
      </c>
      <c r="L149" s="1">
        <f t="shared" si="19"/>
        <v>59092.77375</v>
      </c>
      <c r="M149" s="7">
        <f t="shared" si="20"/>
        <v>19697.591250000005</v>
      </c>
    </row>
    <row r="150" spans="1:13" x14ac:dyDescent="0.35">
      <c r="A150" t="s">
        <v>189</v>
      </c>
      <c r="B150" t="s">
        <v>117</v>
      </c>
      <c r="C150" t="s">
        <v>15</v>
      </c>
      <c r="D150" t="s">
        <v>188</v>
      </c>
      <c r="E150" s="1">
        <v>4.3449999999999998</v>
      </c>
      <c r="F150" s="2">
        <v>4110.25</v>
      </c>
      <c r="G150" s="7">
        <f t="shared" si="14"/>
        <v>17859.036249999997</v>
      </c>
      <c r="H150" s="7">
        <f t="shared" si="15"/>
        <v>20551.25</v>
      </c>
      <c r="I150" s="7">
        <f t="shared" si="16"/>
        <v>38410.286249999997</v>
      </c>
      <c r="J150" s="7">
        <f t="shared" si="17"/>
        <v>14.017499999999998</v>
      </c>
      <c r="K150" s="3">
        <f t="shared" si="18"/>
        <v>4110.25</v>
      </c>
      <c r="L150" s="1">
        <f t="shared" si="19"/>
        <v>57615.429374999992</v>
      </c>
      <c r="M150" s="7">
        <f t="shared" si="20"/>
        <v>19205.143124999995</v>
      </c>
    </row>
    <row r="151" spans="1:13" x14ac:dyDescent="0.35">
      <c r="A151" t="s">
        <v>190</v>
      </c>
      <c r="B151" t="s">
        <v>117</v>
      </c>
      <c r="C151" t="s">
        <v>15</v>
      </c>
      <c r="D151" t="s">
        <v>188</v>
      </c>
      <c r="E151" s="1">
        <v>5.8425000000000002</v>
      </c>
      <c r="F151" s="2">
        <v>3830.75</v>
      </c>
      <c r="G151" s="7">
        <f t="shared" si="14"/>
        <v>22381.156875000001</v>
      </c>
      <c r="H151" s="7">
        <f t="shared" si="15"/>
        <v>19153.75</v>
      </c>
      <c r="I151" s="7">
        <f t="shared" si="16"/>
        <v>41534.906875000001</v>
      </c>
      <c r="J151" s="7">
        <f t="shared" si="17"/>
        <v>16.263750000000002</v>
      </c>
      <c r="K151" s="3">
        <f t="shared" si="18"/>
        <v>3830.75</v>
      </c>
      <c r="L151" s="1">
        <f t="shared" si="19"/>
        <v>62302.360312500008</v>
      </c>
      <c r="M151" s="7">
        <f t="shared" si="20"/>
        <v>20767.453437500008</v>
      </c>
    </row>
    <row r="152" spans="1:13" x14ac:dyDescent="0.35">
      <c r="A152" t="s">
        <v>191</v>
      </c>
      <c r="B152" t="s">
        <v>117</v>
      </c>
      <c r="C152" t="s">
        <v>15</v>
      </c>
      <c r="D152" t="s">
        <v>188</v>
      </c>
      <c r="E152" s="1">
        <v>3.01</v>
      </c>
      <c r="F152" s="2">
        <v>3934.75</v>
      </c>
      <c r="G152" s="7">
        <f t="shared" si="14"/>
        <v>11843.5975</v>
      </c>
      <c r="H152" s="7">
        <f t="shared" si="15"/>
        <v>19673.75</v>
      </c>
      <c r="I152" s="7">
        <f t="shared" si="16"/>
        <v>31517.3475</v>
      </c>
      <c r="J152" s="7">
        <f t="shared" si="17"/>
        <v>12.015000000000001</v>
      </c>
      <c r="K152" s="3">
        <f t="shared" si="18"/>
        <v>3934.75</v>
      </c>
      <c r="L152" s="1">
        <f t="shared" si="19"/>
        <v>47276.021250000005</v>
      </c>
      <c r="M152" s="7">
        <f t="shared" si="20"/>
        <v>15758.673750000005</v>
      </c>
    </row>
    <row r="153" spans="1:13" x14ac:dyDescent="0.35">
      <c r="A153" t="s">
        <v>192</v>
      </c>
      <c r="B153" t="s">
        <v>117</v>
      </c>
      <c r="C153" t="s">
        <v>15</v>
      </c>
      <c r="D153" t="s">
        <v>188</v>
      </c>
      <c r="E153" s="1">
        <v>4.3449999999999998</v>
      </c>
      <c r="F153" s="2">
        <v>4306</v>
      </c>
      <c r="G153" s="7">
        <f t="shared" si="14"/>
        <v>18709.57</v>
      </c>
      <c r="H153" s="7">
        <f t="shared" si="15"/>
        <v>21530</v>
      </c>
      <c r="I153" s="7">
        <f t="shared" si="16"/>
        <v>40239.57</v>
      </c>
      <c r="J153" s="7">
        <f t="shared" si="17"/>
        <v>14.017499999999998</v>
      </c>
      <c r="K153" s="3">
        <f t="shared" si="18"/>
        <v>4306</v>
      </c>
      <c r="L153" s="1">
        <f t="shared" si="19"/>
        <v>60359.354999999996</v>
      </c>
      <c r="M153" s="7">
        <f t="shared" si="20"/>
        <v>20119.784999999996</v>
      </c>
    </row>
    <row r="154" spans="1:13" x14ac:dyDescent="0.35">
      <c r="A154" t="s">
        <v>193</v>
      </c>
      <c r="B154" t="s">
        <v>117</v>
      </c>
      <c r="C154" t="s">
        <v>15</v>
      </c>
      <c r="D154" t="s">
        <v>188</v>
      </c>
      <c r="E154" s="1">
        <v>5.8425000000000002</v>
      </c>
      <c r="F154" s="2">
        <v>4266.5</v>
      </c>
      <c r="G154" s="7">
        <f t="shared" si="14"/>
        <v>24927.026250000003</v>
      </c>
      <c r="H154" s="7">
        <f t="shared" si="15"/>
        <v>21332.5</v>
      </c>
      <c r="I154" s="7">
        <f t="shared" si="16"/>
        <v>46259.526250000003</v>
      </c>
      <c r="J154" s="7">
        <f t="shared" si="17"/>
        <v>16.263750000000002</v>
      </c>
      <c r="K154" s="3">
        <f t="shared" si="18"/>
        <v>4266.5</v>
      </c>
      <c r="L154" s="1">
        <f t="shared" si="19"/>
        <v>69389.289375000008</v>
      </c>
      <c r="M154" s="7">
        <f t="shared" si="20"/>
        <v>23129.763125000005</v>
      </c>
    </row>
    <row r="155" spans="1:13" x14ac:dyDescent="0.35">
      <c r="A155" t="s">
        <v>194</v>
      </c>
      <c r="B155" t="s">
        <v>117</v>
      </c>
      <c r="C155" t="s">
        <v>15</v>
      </c>
      <c r="D155" t="s">
        <v>188</v>
      </c>
      <c r="E155" s="1">
        <v>3.01</v>
      </c>
      <c r="F155" s="2">
        <v>4858</v>
      </c>
      <c r="G155" s="7">
        <f t="shared" si="14"/>
        <v>14622.579999999998</v>
      </c>
      <c r="H155" s="7">
        <f t="shared" si="15"/>
        <v>24290</v>
      </c>
      <c r="I155" s="7">
        <f t="shared" si="16"/>
        <v>38912.58</v>
      </c>
      <c r="J155" s="7">
        <f t="shared" si="17"/>
        <v>12.015000000000001</v>
      </c>
      <c r="K155" s="3">
        <f t="shared" si="18"/>
        <v>4858</v>
      </c>
      <c r="L155" s="1">
        <f t="shared" si="19"/>
        <v>58368.87</v>
      </c>
      <c r="M155" s="7">
        <f t="shared" si="20"/>
        <v>19456.29</v>
      </c>
    </row>
    <row r="156" spans="1:13" x14ac:dyDescent="0.35">
      <c r="A156" t="s">
        <v>195</v>
      </c>
      <c r="B156" t="s">
        <v>117</v>
      </c>
      <c r="C156" t="s">
        <v>15</v>
      </c>
      <c r="D156" t="s">
        <v>188</v>
      </c>
      <c r="E156" s="1">
        <v>4.3449999999999998</v>
      </c>
      <c r="F156" s="2">
        <v>4543.75</v>
      </c>
      <c r="G156" s="7">
        <f t="shared" si="14"/>
        <v>19742.59375</v>
      </c>
      <c r="H156" s="7">
        <f t="shared" si="15"/>
        <v>22718.75</v>
      </c>
      <c r="I156" s="7">
        <f t="shared" si="16"/>
        <v>42461.34375</v>
      </c>
      <c r="J156" s="7">
        <f t="shared" si="17"/>
        <v>14.017499999999998</v>
      </c>
      <c r="K156" s="3">
        <f t="shared" si="18"/>
        <v>4543.75</v>
      </c>
      <c r="L156" s="1">
        <f t="shared" si="19"/>
        <v>63692.015624999993</v>
      </c>
      <c r="M156" s="7">
        <f t="shared" si="20"/>
        <v>21230.671874999993</v>
      </c>
    </row>
    <row r="157" spans="1:13" x14ac:dyDescent="0.35">
      <c r="A157" t="s">
        <v>196</v>
      </c>
      <c r="B157" t="s">
        <v>117</v>
      </c>
      <c r="C157" t="s">
        <v>15</v>
      </c>
      <c r="D157" t="s">
        <v>188</v>
      </c>
      <c r="E157" s="1">
        <v>5.8425000000000002</v>
      </c>
      <c r="F157" s="2">
        <v>4152.5</v>
      </c>
      <c r="G157" s="7">
        <f t="shared" si="14"/>
        <v>24260.981250000001</v>
      </c>
      <c r="H157" s="7">
        <f t="shared" si="15"/>
        <v>20762.5</v>
      </c>
      <c r="I157" s="7">
        <f t="shared" si="16"/>
        <v>45023.481249999997</v>
      </c>
      <c r="J157" s="7">
        <f t="shared" si="17"/>
        <v>16.263750000000002</v>
      </c>
      <c r="K157" s="3">
        <f t="shared" si="18"/>
        <v>4152.5</v>
      </c>
      <c r="L157" s="1">
        <f t="shared" si="19"/>
        <v>67535.221875000003</v>
      </c>
      <c r="M157" s="7">
        <f t="shared" si="20"/>
        <v>22511.740625000006</v>
      </c>
    </row>
    <row r="158" spans="1:13" x14ac:dyDescent="0.35">
      <c r="A158" t="s">
        <v>197</v>
      </c>
      <c r="B158" t="s">
        <v>98</v>
      </c>
      <c r="C158" t="s">
        <v>15</v>
      </c>
      <c r="D158" t="s">
        <v>22</v>
      </c>
      <c r="E158" s="1">
        <v>36.147500000000001</v>
      </c>
      <c r="F158" s="2">
        <v>4475.75</v>
      </c>
      <c r="G158" s="7">
        <f t="shared" si="14"/>
        <v>161787.173125</v>
      </c>
      <c r="H158" s="7">
        <f t="shared" si="15"/>
        <v>22378.75</v>
      </c>
      <c r="I158" s="7">
        <f t="shared" si="16"/>
        <v>184165.923125</v>
      </c>
      <c r="J158" s="7">
        <f t="shared" si="17"/>
        <v>61.721249999999998</v>
      </c>
      <c r="K158" s="3">
        <f t="shared" si="18"/>
        <v>4475.75</v>
      </c>
      <c r="L158" s="1">
        <f t="shared" si="19"/>
        <v>276248.88468750002</v>
      </c>
      <c r="M158" s="7">
        <f t="shared" si="20"/>
        <v>92082.961562500015</v>
      </c>
    </row>
    <row r="159" spans="1:13" x14ac:dyDescent="0.35">
      <c r="A159" t="s">
        <v>198</v>
      </c>
      <c r="B159" t="s">
        <v>98</v>
      </c>
      <c r="C159" t="s">
        <v>15</v>
      </c>
      <c r="D159" t="s">
        <v>22</v>
      </c>
      <c r="E159" s="1">
        <v>36.147500000000001</v>
      </c>
      <c r="F159" s="2">
        <v>4877.5</v>
      </c>
      <c r="G159" s="7">
        <f t="shared" si="14"/>
        <v>176309.43124999999</v>
      </c>
      <c r="H159" s="7">
        <f t="shared" si="15"/>
        <v>24387.5</v>
      </c>
      <c r="I159" s="7">
        <f t="shared" si="16"/>
        <v>200696.93124999999</v>
      </c>
      <c r="J159" s="7">
        <f t="shared" si="17"/>
        <v>61.721249999999998</v>
      </c>
      <c r="K159" s="3">
        <f t="shared" si="18"/>
        <v>4877.5</v>
      </c>
      <c r="L159" s="1">
        <f t="shared" si="19"/>
        <v>301045.39687499998</v>
      </c>
      <c r="M159" s="7">
        <f t="shared" si="20"/>
        <v>100348.46562499998</v>
      </c>
    </row>
    <row r="160" spans="1:13" x14ac:dyDescent="0.35">
      <c r="A160" t="s">
        <v>199</v>
      </c>
      <c r="B160" t="s">
        <v>98</v>
      </c>
      <c r="C160" t="s">
        <v>15</v>
      </c>
      <c r="D160" t="s">
        <v>22</v>
      </c>
      <c r="E160" s="1">
        <v>36.147500000000001</v>
      </c>
      <c r="F160" s="2">
        <v>4568.25</v>
      </c>
      <c r="G160" s="7">
        <f t="shared" si="14"/>
        <v>165130.81687499999</v>
      </c>
      <c r="H160" s="7">
        <f t="shared" si="15"/>
        <v>22841.25</v>
      </c>
      <c r="I160" s="7">
        <f t="shared" si="16"/>
        <v>187972.06687499999</v>
      </c>
      <c r="J160" s="7">
        <f t="shared" si="17"/>
        <v>61.721249999999998</v>
      </c>
      <c r="K160" s="3">
        <f t="shared" si="18"/>
        <v>4568.25</v>
      </c>
      <c r="L160" s="1">
        <f t="shared" si="19"/>
        <v>281958.10031249997</v>
      </c>
      <c r="M160" s="7">
        <f t="shared" si="20"/>
        <v>93986.03343749998</v>
      </c>
    </row>
    <row r="161" spans="1:13" x14ac:dyDescent="0.35">
      <c r="A161" t="s">
        <v>200</v>
      </c>
      <c r="B161" t="s">
        <v>98</v>
      </c>
      <c r="C161" t="s">
        <v>15</v>
      </c>
      <c r="D161" t="s">
        <v>22</v>
      </c>
      <c r="E161" s="1">
        <v>36.147500000000001</v>
      </c>
      <c r="F161" s="2">
        <v>3766.75</v>
      </c>
      <c r="G161" s="7">
        <f t="shared" si="14"/>
        <v>136158.59562500002</v>
      </c>
      <c r="H161" s="7">
        <f t="shared" si="15"/>
        <v>18833.75</v>
      </c>
      <c r="I161" s="7">
        <f t="shared" si="16"/>
        <v>154992.34562500002</v>
      </c>
      <c r="J161" s="7">
        <f t="shared" si="17"/>
        <v>61.721249999999998</v>
      </c>
      <c r="K161" s="3">
        <f t="shared" si="18"/>
        <v>3766.75</v>
      </c>
      <c r="L161" s="1">
        <f t="shared" si="19"/>
        <v>232488.5184375</v>
      </c>
      <c r="M161" s="7">
        <f t="shared" si="20"/>
        <v>77496.172812499979</v>
      </c>
    </row>
    <row r="162" spans="1:13" x14ac:dyDescent="0.35">
      <c r="A162" t="s">
        <v>201</v>
      </c>
      <c r="B162" t="s">
        <v>117</v>
      </c>
      <c r="C162" t="s">
        <v>18</v>
      </c>
      <c r="D162" t="s">
        <v>156</v>
      </c>
      <c r="E162" s="1">
        <v>0.46750000000000003</v>
      </c>
      <c r="F162" s="2">
        <v>4745.25</v>
      </c>
      <c r="G162" s="7">
        <f t="shared" si="14"/>
        <v>2218.4043750000001</v>
      </c>
      <c r="H162" s="7">
        <f t="shared" si="15"/>
        <v>23726.25</v>
      </c>
      <c r="I162" s="7">
        <f t="shared" si="16"/>
        <v>25944.654374999998</v>
      </c>
      <c r="J162" s="7">
        <f t="shared" si="17"/>
        <v>8.2012499999999999</v>
      </c>
      <c r="K162" s="3">
        <f t="shared" si="18"/>
        <v>4745.25</v>
      </c>
      <c r="L162" s="1">
        <f t="shared" si="19"/>
        <v>38916.981562499997</v>
      </c>
      <c r="M162" s="7">
        <f t="shared" si="20"/>
        <v>12972.327187499999</v>
      </c>
    </row>
    <row r="163" spans="1:13" x14ac:dyDescent="0.35">
      <c r="A163" t="s">
        <v>202</v>
      </c>
      <c r="B163" t="s">
        <v>117</v>
      </c>
      <c r="C163" t="s">
        <v>18</v>
      </c>
      <c r="D163" t="s">
        <v>156</v>
      </c>
      <c r="E163" s="1">
        <v>0.3725</v>
      </c>
      <c r="F163" s="2">
        <v>4184.75</v>
      </c>
      <c r="G163" s="7">
        <f t="shared" si="14"/>
        <v>1558.819375</v>
      </c>
      <c r="H163" s="7">
        <f t="shared" si="15"/>
        <v>20923.75</v>
      </c>
      <c r="I163" s="7">
        <f t="shared" si="16"/>
        <v>22482.569374999999</v>
      </c>
      <c r="J163" s="7">
        <f t="shared" si="17"/>
        <v>8.0587499999999999</v>
      </c>
      <c r="K163" s="3">
        <f t="shared" si="18"/>
        <v>4184.75</v>
      </c>
      <c r="L163" s="1">
        <f t="shared" si="19"/>
        <v>33723.854062500002</v>
      </c>
      <c r="M163" s="7">
        <f t="shared" si="20"/>
        <v>11241.284687500003</v>
      </c>
    </row>
    <row r="164" spans="1:13" x14ac:dyDescent="0.35">
      <c r="A164" t="s">
        <v>203</v>
      </c>
      <c r="B164" t="s">
        <v>117</v>
      </c>
      <c r="C164" t="s">
        <v>18</v>
      </c>
      <c r="D164" t="s">
        <v>156</v>
      </c>
      <c r="E164" s="1">
        <v>0.46750000000000003</v>
      </c>
      <c r="F164" s="2">
        <v>3943.75</v>
      </c>
      <c r="G164" s="7">
        <f t="shared" si="14"/>
        <v>1843.703125</v>
      </c>
      <c r="H164" s="7">
        <f t="shared" si="15"/>
        <v>19718.75</v>
      </c>
      <c r="I164" s="7">
        <f t="shared" si="16"/>
        <v>21562.453125</v>
      </c>
      <c r="J164" s="7">
        <f t="shared" si="17"/>
        <v>8.2012499999999999</v>
      </c>
      <c r="K164" s="3">
        <f t="shared" si="18"/>
        <v>3943.75</v>
      </c>
      <c r="L164" s="1">
        <f t="shared" si="19"/>
        <v>32343.6796875</v>
      </c>
      <c r="M164" s="7">
        <f t="shared" si="20"/>
        <v>10781.2265625</v>
      </c>
    </row>
    <row r="165" spans="1:13" x14ac:dyDescent="0.35">
      <c r="A165" t="s">
        <v>204</v>
      </c>
      <c r="B165" t="s">
        <v>117</v>
      </c>
      <c r="C165" t="s">
        <v>18</v>
      </c>
      <c r="D165" t="s">
        <v>156</v>
      </c>
      <c r="E165" s="1">
        <v>2.3374999999999999</v>
      </c>
      <c r="F165" s="2">
        <v>4494</v>
      </c>
      <c r="G165" s="7">
        <f t="shared" si="14"/>
        <v>10504.725</v>
      </c>
      <c r="H165" s="7">
        <f t="shared" si="15"/>
        <v>22470</v>
      </c>
      <c r="I165" s="7">
        <f t="shared" si="16"/>
        <v>32974.724999999999</v>
      </c>
      <c r="J165" s="7">
        <f t="shared" si="17"/>
        <v>11.006250000000001</v>
      </c>
      <c r="K165" s="3">
        <f t="shared" si="18"/>
        <v>4494</v>
      </c>
      <c r="L165" s="1">
        <f t="shared" si="19"/>
        <v>49462.087500000009</v>
      </c>
      <c r="M165" s="7">
        <f t="shared" si="20"/>
        <v>16487.36250000001</v>
      </c>
    </row>
    <row r="166" spans="1:13" x14ac:dyDescent="0.35">
      <c r="A166" t="s">
        <v>205</v>
      </c>
      <c r="B166" t="s">
        <v>117</v>
      </c>
      <c r="C166" t="s">
        <v>18</v>
      </c>
      <c r="D166" t="s">
        <v>156</v>
      </c>
      <c r="E166" s="1">
        <v>2.8050000000000002</v>
      </c>
      <c r="F166" s="2">
        <v>3786.5</v>
      </c>
      <c r="G166" s="7">
        <f t="shared" si="14"/>
        <v>10621.1325</v>
      </c>
      <c r="H166" s="7">
        <f t="shared" si="15"/>
        <v>18932.5</v>
      </c>
      <c r="I166" s="7">
        <f t="shared" si="16"/>
        <v>29553.6325</v>
      </c>
      <c r="J166" s="7">
        <f t="shared" si="17"/>
        <v>11.7075</v>
      </c>
      <c r="K166" s="3">
        <f t="shared" si="18"/>
        <v>3786.5</v>
      </c>
      <c r="L166" s="1">
        <f t="shared" si="19"/>
        <v>44330.448749999996</v>
      </c>
      <c r="M166" s="7">
        <f t="shared" si="20"/>
        <v>14776.816249999996</v>
      </c>
    </row>
    <row r="167" spans="1:13" x14ac:dyDescent="0.35">
      <c r="A167" t="s">
        <v>206</v>
      </c>
      <c r="B167" t="s">
        <v>117</v>
      </c>
      <c r="C167" t="s">
        <v>18</v>
      </c>
      <c r="D167" t="s">
        <v>156</v>
      </c>
      <c r="E167" s="1">
        <v>3.2725</v>
      </c>
      <c r="F167" s="2">
        <v>4230.75</v>
      </c>
      <c r="G167" s="7">
        <f t="shared" si="14"/>
        <v>13845.129375</v>
      </c>
      <c r="H167" s="7">
        <f t="shared" si="15"/>
        <v>21153.75</v>
      </c>
      <c r="I167" s="7">
        <f t="shared" si="16"/>
        <v>34998.879375000004</v>
      </c>
      <c r="J167" s="7">
        <f t="shared" si="17"/>
        <v>12.408750000000001</v>
      </c>
      <c r="K167" s="3">
        <f t="shared" si="18"/>
        <v>4230.75</v>
      </c>
      <c r="L167" s="1">
        <f t="shared" si="19"/>
        <v>52498.319062500006</v>
      </c>
      <c r="M167" s="7">
        <f t="shared" si="20"/>
        <v>17499.439687500002</v>
      </c>
    </row>
    <row r="168" spans="1:13" x14ac:dyDescent="0.35">
      <c r="A168" t="s">
        <v>207</v>
      </c>
      <c r="B168" t="s">
        <v>117</v>
      </c>
      <c r="C168" t="s">
        <v>18</v>
      </c>
      <c r="D168" t="s">
        <v>156</v>
      </c>
      <c r="E168" s="1">
        <v>2.0099999999999998</v>
      </c>
      <c r="F168" s="2">
        <v>4832.25</v>
      </c>
      <c r="G168" s="7">
        <f t="shared" si="14"/>
        <v>9712.8224999999984</v>
      </c>
      <c r="H168" s="7">
        <f t="shared" si="15"/>
        <v>24161.25</v>
      </c>
      <c r="I168" s="7">
        <f t="shared" si="16"/>
        <v>33874.072499999995</v>
      </c>
      <c r="J168" s="7">
        <f t="shared" si="17"/>
        <v>10.515000000000001</v>
      </c>
      <c r="K168" s="3">
        <f t="shared" si="18"/>
        <v>4832.25</v>
      </c>
      <c r="L168" s="1">
        <f t="shared" si="19"/>
        <v>50811.108749999999</v>
      </c>
      <c r="M168" s="7">
        <f t="shared" si="20"/>
        <v>16937.036250000005</v>
      </c>
    </row>
    <row r="169" spans="1:13" x14ac:dyDescent="0.35">
      <c r="A169" t="s">
        <v>208</v>
      </c>
      <c r="B169" t="s">
        <v>117</v>
      </c>
      <c r="C169" t="s">
        <v>18</v>
      </c>
      <c r="D169" t="s">
        <v>156</v>
      </c>
      <c r="E169" s="1">
        <v>2.3374999999999999</v>
      </c>
      <c r="F169" s="2">
        <v>4809.5</v>
      </c>
      <c r="G169" s="7">
        <f t="shared" si="14"/>
        <v>11242.206249999999</v>
      </c>
      <c r="H169" s="7">
        <f t="shared" si="15"/>
        <v>24047.5</v>
      </c>
      <c r="I169" s="7">
        <f t="shared" si="16"/>
        <v>35289.706250000003</v>
      </c>
      <c r="J169" s="7">
        <f t="shared" si="17"/>
        <v>11.006250000000001</v>
      </c>
      <c r="K169" s="3">
        <f t="shared" si="18"/>
        <v>4809.5</v>
      </c>
      <c r="L169" s="1">
        <f t="shared" si="19"/>
        <v>52934.559375000004</v>
      </c>
      <c r="M169" s="7">
        <f t="shared" si="20"/>
        <v>17644.853125000001</v>
      </c>
    </row>
    <row r="170" spans="1:13" x14ac:dyDescent="0.35">
      <c r="A170" t="s">
        <v>209</v>
      </c>
      <c r="B170" t="s">
        <v>117</v>
      </c>
      <c r="C170" t="s">
        <v>18</v>
      </c>
      <c r="D170" t="s">
        <v>156</v>
      </c>
      <c r="E170" s="1">
        <v>3.0474999999999999</v>
      </c>
      <c r="F170" s="2">
        <v>4893.25</v>
      </c>
      <c r="G170" s="7">
        <f t="shared" si="14"/>
        <v>14912.179375</v>
      </c>
      <c r="H170" s="7">
        <f t="shared" si="15"/>
        <v>24466.25</v>
      </c>
      <c r="I170" s="7">
        <f t="shared" si="16"/>
        <v>39378.429375</v>
      </c>
      <c r="J170" s="7">
        <f t="shared" si="17"/>
        <v>12.071249999999999</v>
      </c>
      <c r="K170" s="3">
        <f t="shared" si="18"/>
        <v>4893.25</v>
      </c>
      <c r="L170" s="1">
        <f t="shared" si="19"/>
        <v>59067.644062499996</v>
      </c>
      <c r="M170" s="7">
        <f t="shared" si="20"/>
        <v>19689.214687499996</v>
      </c>
    </row>
    <row r="171" spans="1:13" x14ac:dyDescent="0.35">
      <c r="A171" t="s">
        <v>210</v>
      </c>
      <c r="B171" t="s">
        <v>117</v>
      </c>
      <c r="C171" t="s">
        <v>18</v>
      </c>
      <c r="D171" t="s">
        <v>156</v>
      </c>
      <c r="E171" s="1">
        <v>2.71</v>
      </c>
      <c r="F171" s="2">
        <v>3940.25</v>
      </c>
      <c r="G171" s="7">
        <f t="shared" si="14"/>
        <v>10678.077499999999</v>
      </c>
      <c r="H171" s="7">
        <f t="shared" si="15"/>
        <v>19701.25</v>
      </c>
      <c r="I171" s="7">
        <f t="shared" si="16"/>
        <v>30379.327499999999</v>
      </c>
      <c r="J171" s="7">
        <f t="shared" si="17"/>
        <v>11.565</v>
      </c>
      <c r="K171" s="3">
        <f t="shared" si="18"/>
        <v>3940.25</v>
      </c>
      <c r="L171" s="1">
        <f t="shared" si="19"/>
        <v>45568.991249999999</v>
      </c>
      <c r="M171" s="7">
        <f t="shared" si="20"/>
        <v>15189.66375</v>
      </c>
    </row>
    <row r="172" spans="1:13" x14ac:dyDescent="0.35">
      <c r="A172" t="s">
        <v>211</v>
      </c>
      <c r="B172" t="s">
        <v>212</v>
      </c>
      <c r="C172" t="s">
        <v>15</v>
      </c>
      <c r="D172" t="s">
        <v>213</v>
      </c>
      <c r="E172" s="1">
        <v>4.4950000000000001</v>
      </c>
      <c r="F172" s="2">
        <v>4901.5</v>
      </c>
      <c r="G172" s="7">
        <f t="shared" si="14"/>
        <v>22032.2425</v>
      </c>
      <c r="H172" s="7">
        <f t="shared" si="15"/>
        <v>24507.5</v>
      </c>
      <c r="I172" s="7">
        <f t="shared" si="16"/>
        <v>46539.7425</v>
      </c>
      <c r="J172" s="7">
        <f t="shared" si="17"/>
        <v>14.242500000000001</v>
      </c>
      <c r="K172" s="3">
        <f t="shared" si="18"/>
        <v>4901.5</v>
      </c>
      <c r="L172" s="1">
        <f t="shared" si="19"/>
        <v>69809.613750000004</v>
      </c>
      <c r="M172" s="7">
        <f t="shared" si="20"/>
        <v>23269.871250000004</v>
      </c>
    </row>
    <row r="173" spans="1:13" x14ac:dyDescent="0.35">
      <c r="A173" t="s">
        <v>214</v>
      </c>
      <c r="B173" t="s">
        <v>212</v>
      </c>
      <c r="C173" t="s">
        <v>15</v>
      </c>
      <c r="D173" t="s">
        <v>213</v>
      </c>
      <c r="E173" s="1">
        <v>6.8925000000000001</v>
      </c>
      <c r="F173" s="2">
        <v>4552.75</v>
      </c>
      <c r="G173" s="7">
        <f t="shared" si="14"/>
        <v>31379.829375000001</v>
      </c>
      <c r="H173" s="7">
        <f t="shared" si="15"/>
        <v>22763.75</v>
      </c>
      <c r="I173" s="7">
        <f t="shared" si="16"/>
        <v>54143.579375000001</v>
      </c>
      <c r="J173" s="7">
        <f t="shared" si="17"/>
        <v>17.838750000000001</v>
      </c>
      <c r="K173" s="3">
        <f t="shared" si="18"/>
        <v>4552.75</v>
      </c>
      <c r="L173" s="1">
        <f t="shared" si="19"/>
        <v>81215.369062500002</v>
      </c>
      <c r="M173" s="7">
        <f t="shared" si="20"/>
        <v>27071.789687500001</v>
      </c>
    </row>
    <row r="174" spans="1:13" x14ac:dyDescent="0.35">
      <c r="A174" t="s">
        <v>215</v>
      </c>
      <c r="B174" t="s">
        <v>212</v>
      </c>
      <c r="C174" t="s">
        <v>15</v>
      </c>
      <c r="D174" t="s">
        <v>213</v>
      </c>
      <c r="E174" s="1">
        <v>8.99</v>
      </c>
      <c r="F174" s="2">
        <v>4139</v>
      </c>
      <c r="G174" s="7">
        <f t="shared" si="14"/>
        <v>37209.61</v>
      </c>
      <c r="H174" s="7">
        <f t="shared" si="15"/>
        <v>20695</v>
      </c>
      <c r="I174" s="7">
        <f t="shared" si="16"/>
        <v>57904.61</v>
      </c>
      <c r="J174" s="7">
        <f t="shared" si="17"/>
        <v>20.984999999999999</v>
      </c>
      <c r="K174" s="3">
        <f t="shared" si="18"/>
        <v>4139</v>
      </c>
      <c r="L174" s="1">
        <f t="shared" si="19"/>
        <v>86856.914999999994</v>
      </c>
      <c r="M174" s="7">
        <f t="shared" si="20"/>
        <v>28952.304999999993</v>
      </c>
    </row>
    <row r="175" spans="1:13" x14ac:dyDescent="0.35">
      <c r="A175" t="s">
        <v>216</v>
      </c>
      <c r="B175" t="s">
        <v>212</v>
      </c>
      <c r="C175" t="s">
        <v>15</v>
      </c>
      <c r="D175" t="s">
        <v>213</v>
      </c>
      <c r="E175" s="1">
        <v>4.4950000000000001</v>
      </c>
      <c r="F175" s="2">
        <v>4725</v>
      </c>
      <c r="G175" s="7">
        <f t="shared" si="14"/>
        <v>21238.875</v>
      </c>
      <c r="H175" s="7">
        <f t="shared" si="15"/>
        <v>23625</v>
      </c>
      <c r="I175" s="7">
        <f t="shared" si="16"/>
        <v>44863.875</v>
      </c>
      <c r="J175" s="7">
        <f t="shared" si="17"/>
        <v>14.242500000000001</v>
      </c>
      <c r="K175" s="3">
        <f t="shared" si="18"/>
        <v>4725</v>
      </c>
      <c r="L175" s="1">
        <f t="shared" si="19"/>
        <v>67295.8125</v>
      </c>
      <c r="M175" s="7">
        <f t="shared" si="20"/>
        <v>22431.9375</v>
      </c>
    </row>
    <row r="176" spans="1:13" x14ac:dyDescent="0.35">
      <c r="A176" t="s">
        <v>217</v>
      </c>
      <c r="B176" t="s">
        <v>212</v>
      </c>
      <c r="C176" t="s">
        <v>15</v>
      </c>
      <c r="D176" t="s">
        <v>213</v>
      </c>
      <c r="E176" s="1">
        <v>6.8925000000000001</v>
      </c>
      <c r="F176" s="2">
        <v>4308.25</v>
      </c>
      <c r="G176" s="7">
        <f t="shared" si="14"/>
        <v>29694.613125</v>
      </c>
      <c r="H176" s="7">
        <f t="shared" si="15"/>
        <v>21541.25</v>
      </c>
      <c r="I176" s="7">
        <f t="shared" si="16"/>
        <v>51235.863125000003</v>
      </c>
      <c r="J176" s="7">
        <f t="shared" si="17"/>
        <v>17.838750000000001</v>
      </c>
      <c r="K176" s="3">
        <f t="shared" si="18"/>
        <v>4308.25</v>
      </c>
      <c r="L176" s="1">
        <f t="shared" si="19"/>
        <v>76853.794687500005</v>
      </c>
      <c r="M176" s="7">
        <f t="shared" si="20"/>
        <v>25617.931562500002</v>
      </c>
    </row>
    <row r="177" spans="1:13" x14ac:dyDescent="0.35">
      <c r="A177" t="s">
        <v>218</v>
      </c>
      <c r="B177" t="s">
        <v>212</v>
      </c>
      <c r="C177" t="s">
        <v>15</v>
      </c>
      <c r="D177" t="s">
        <v>213</v>
      </c>
      <c r="E177" s="1">
        <v>8.99</v>
      </c>
      <c r="F177" s="2">
        <v>4859.5</v>
      </c>
      <c r="G177" s="7">
        <f t="shared" si="14"/>
        <v>43686.904999999999</v>
      </c>
      <c r="H177" s="7">
        <f t="shared" si="15"/>
        <v>24297.5</v>
      </c>
      <c r="I177" s="7">
        <f t="shared" si="16"/>
        <v>67984.404999999999</v>
      </c>
      <c r="J177" s="7">
        <f t="shared" si="17"/>
        <v>20.984999999999999</v>
      </c>
      <c r="K177" s="3">
        <f t="shared" si="18"/>
        <v>4859.5</v>
      </c>
      <c r="L177" s="1">
        <f t="shared" si="19"/>
        <v>101976.6075</v>
      </c>
      <c r="M177" s="7">
        <f t="shared" si="20"/>
        <v>33992.202499999999</v>
      </c>
    </row>
    <row r="178" spans="1:13" x14ac:dyDescent="0.35">
      <c r="A178" t="s">
        <v>219</v>
      </c>
      <c r="B178" t="s">
        <v>212</v>
      </c>
      <c r="C178" t="s">
        <v>15</v>
      </c>
      <c r="D178" t="s">
        <v>213</v>
      </c>
      <c r="E178" s="1">
        <v>8.99</v>
      </c>
      <c r="F178" s="2">
        <v>4923.75</v>
      </c>
      <c r="G178" s="7">
        <f t="shared" si="14"/>
        <v>44264.512500000004</v>
      </c>
      <c r="H178" s="7">
        <f t="shared" si="15"/>
        <v>24618.75</v>
      </c>
      <c r="I178" s="7">
        <f t="shared" si="16"/>
        <v>68883.262500000012</v>
      </c>
      <c r="J178" s="7">
        <f t="shared" si="17"/>
        <v>20.984999999999999</v>
      </c>
      <c r="K178" s="3">
        <f t="shared" si="18"/>
        <v>4923.75</v>
      </c>
      <c r="L178" s="1">
        <f t="shared" si="19"/>
        <v>103324.89375</v>
      </c>
      <c r="M178" s="7">
        <f t="shared" si="20"/>
        <v>34441.631249999991</v>
      </c>
    </row>
    <row r="179" spans="1:13" x14ac:dyDescent="0.35">
      <c r="A179" t="s">
        <v>220</v>
      </c>
      <c r="B179" t="s">
        <v>98</v>
      </c>
      <c r="C179" t="s">
        <v>15</v>
      </c>
      <c r="D179" t="s">
        <v>22</v>
      </c>
      <c r="E179" s="1">
        <v>49.844999999999999</v>
      </c>
      <c r="F179" s="2">
        <v>4740</v>
      </c>
      <c r="G179" s="7">
        <f t="shared" si="14"/>
        <v>236265.3</v>
      </c>
      <c r="H179" s="7">
        <f t="shared" si="15"/>
        <v>23700</v>
      </c>
      <c r="I179" s="7">
        <f t="shared" si="16"/>
        <v>259965.3</v>
      </c>
      <c r="J179" s="7">
        <f t="shared" si="17"/>
        <v>82.267499999999998</v>
      </c>
      <c r="K179" s="3">
        <f t="shared" si="18"/>
        <v>4740</v>
      </c>
      <c r="L179" s="1">
        <f t="shared" si="19"/>
        <v>389947.95</v>
      </c>
      <c r="M179" s="7">
        <f t="shared" si="20"/>
        <v>129982.65000000002</v>
      </c>
    </row>
    <row r="180" spans="1:13" x14ac:dyDescent="0.35">
      <c r="A180" t="s">
        <v>221</v>
      </c>
      <c r="B180" t="s">
        <v>98</v>
      </c>
      <c r="C180" t="s">
        <v>15</v>
      </c>
      <c r="D180" t="s">
        <v>22</v>
      </c>
      <c r="E180" s="1">
        <v>36.147500000000001</v>
      </c>
      <c r="F180" s="2">
        <v>4245.5</v>
      </c>
      <c r="G180" s="7">
        <f t="shared" si="14"/>
        <v>153464.21124999999</v>
      </c>
      <c r="H180" s="7">
        <f t="shared" si="15"/>
        <v>21227.5</v>
      </c>
      <c r="I180" s="7">
        <f t="shared" si="16"/>
        <v>174691.71124999999</v>
      </c>
      <c r="J180" s="7">
        <f t="shared" si="17"/>
        <v>61.721249999999998</v>
      </c>
      <c r="K180" s="3">
        <f t="shared" si="18"/>
        <v>4245.5</v>
      </c>
      <c r="L180" s="1">
        <f t="shared" si="19"/>
        <v>262037.56687499999</v>
      </c>
      <c r="M180" s="7">
        <f t="shared" si="20"/>
        <v>87345.855624999997</v>
      </c>
    </row>
    <row r="181" spans="1:13" x14ac:dyDescent="0.35">
      <c r="A181" t="s">
        <v>222</v>
      </c>
      <c r="B181" t="s">
        <v>98</v>
      </c>
      <c r="C181" t="s">
        <v>15</v>
      </c>
      <c r="D181" t="s">
        <v>180</v>
      </c>
      <c r="E181" s="1">
        <v>10.154999999999999</v>
      </c>
      <c r="F181" s="2">
        <v>4428</v>
      </c>
      <c r="G181" s="7">
        <f t="shared" si="14"/>
        <v>44966.34</v>
      </c>
      <c r="H181" s="7">
        <f t="shared" si="15"/>
        <v>22140</v>
      </c>
      <c r="I181" s="7">
        <f t="shared" si="16"/>
        <v>67106.34</v>
      </c>
      <c r="J181" s="7">
        <f t="shared" si="17"/>
        <v>22.732499999999998</v>
      </c>
      <c r="K181" s="3">
        <f t="shared" si="18"/>
        <v>4428</v>
      </c>
      <c r="L181" s="1">
        <f t="shared" si="19"/>
        <v>100659.51</v>
      </c>
      <c r="M181" s="7">
        <f t="shared" si="20"/>
        <v>33553.17</v>
      </c>
    </row>
    <row r="182" spans="1:13" x14ac:dyDescent="0.35">
      <c r="A182" t="s">
        <v>223</v>
      </c>
      <c r="B182" t="s">
        <v>117</v>
      </c>
      <c r="C182" t="s">
        <v>15</v>
      </c>
      <c r="D182" t="s">
        <v>126</v>
      </c>
      <c r="E182" s="1">
        <v>5.1150000000000002</v>
      </c>
      <c r="F182" s="2">
        <v>4288</v>
      </c>
      <c r="G182" s="7">
        <f t="shared" si="14"/>
        <v>21933.120000000003</v>
      </c>
      <c r="H182" s="7">
        <f t="shared" si="15"/>
        <v>21440</v>
      </c>
      <c r="I182" s="7">
        <f t="shared" si="16"/>
        <v>43373.120000000003</v>
      </c>
      <c r="J182" s="7">
        <f t="shared" si="17"/>
        <v>15.172499999999999</v>
      </c>
      <c r="K182" s="3">
        <f t="shared" si="18"/>
        <v>4288</v>
      </c>
      <c r="L182" s="1">
        <f t="shared" si="19"/>
        <v>65059.68</v>
      </c>
      <c r="M182" s="7">
        <f t="shared" si="20"/>
        <v>21686.559999999998</v>
      </c>
    </row>
    <row r="183" spans="1:13" x14ac:dyDescent="0.35">
      <c r="A183" t="s">
        <v>224</v>
      </c>
      <c r="B183" t="s">
        <v>117</v>
      </c>
      <c r="C183" t="s">
        <v>15</v>
      </c>
      <c r="D183" t="s">
        <v>126</v>
      </c>
      <c r="E183" s="1">
        <v>10.164999999999999</v>
      </c>
      <c r="F183" s="2">
        <v>4811.25</v>
      </c>
      <c r="G183" s="7">
        <f t="shared" si="14"/>
        <v>48906.356249999997</v>
      </c>
      <c r="H183" s="7">
        <f t="shared" si="15"/>
        <v>24056.25</v>
      </c>
      <c r="I183" s="7">
        <f t="shared" si="16"/>
        <v>72962.606249999997</v>
      </c>
      <c r="J183" s="7">
        <f t="shared" si="17"/>
        <v>22.747499999999999</v>
      </c>
      <c r="K183" s="3">
        <f t="shared" si="18"/>
        <v>4811.25</v>
      </c>
      <c r="L183" s="1">
        <f t="shared" si="19"/>
        <v>109443.90937499999</v>
      </c>
      <c r="M183" s="7">
        <f t="shared" si="20"/>
        <v>36481.303124999991</v>
      </c>
    </row>
    <row r="184" spans="1:13" x14ac:dyDescent="0.35">
      <c r="A184" t="s">
        <v>225</v>
      </c>
      <c r="B184" t="s">
        <v>98</v>
      </c>
      <c r="C184" t="s">
        <v>15</v>
      </c>
      <c r="D184" t="s">
        <v>186</v>
      </c>
      <c r="E184" s="1">
        <v>11.8225</v>
      </c>
      <c r="F184" s="2">
        <v>4399</v>
      </c>
      <c r="G184" s="7">
        <f t="shared" si="14"/>
        <v>52007.177499999998</v>
      </c>
      <c r="H184" s="7">
        <f t="shared" si="15"/>
        <v>21995</v>
      </c>
      <c r="I184" s="7">
        <f t="shared" si="16"/>
        <v>74002.177499999991</v>
      </c>
      <c r="J184" s="7">
        <f t="shared" si="17"/>
        <v>25.233749999999997</v>
      </c>
      <c r="K184" s="3">
        <f t="shared" si="18"/>
        <v>4399</v>
      </c>
      <c r="L184" s="1">
        <f t="shared" si="19"/>
        <v>111003.26624999999</v>
      </c>
      <c r="M184" s="7">
        <f t="shared" si="20"/>
        <v>37001.088749999995</v>
      </c>
    </row>
    <row r="185" spans="1:13" x14ac:dyDescent="0.35">
      <c r="A185" t="s">
        <v>226</v>
      </c>
      <c r="B185" t="s">
        <v>98</v>
      </c>
      <c r="C185" t="s">
        <v>15</v>
      </c>
      <c r="D185" t="s">
        <v>227</v>
      </c>
      <c r="E185" s="1">
        <v>2.2475000000000001</v>
      </c>
      <c r="F185" s="2">
        <v>4513.75</v>
      </c>
      <c r="G185" s="7">
        <f t="shared" si="14"/>
        <v>10144.653125000001</v>
      </c>
      <c r="H185" s="7">
        <f t="shared" si="15"/>
        <v>22568.75</v>
      </c>
      <c r="I185" s="7">
        <f t="shared" si="16"/>
        <v>32713.403125000001</v>
      </c>
      <c r="J185" s="7">
        <f t="shared" si="17"/>
        <v>10.87125</v>
      </c>
      <c r="K185" s="3">
        <f t="shared" si="18"/>
        <v>4513.75</v>
      </c>
      <c r="L185" s="1">
        <f t="shared" si="19"/>
        <v>49070.104687500003</v>
      </c>
      <c r="M185" s="7">
        <f t="shared" si="20"/>
        <v>16356.701562500002</v>
      </c>
    </row>
    <row r="186" spans="1:13" x14ac:dyDescent="0.35">
      <c r="A186" t="s">
        <v>228</v>
      </c>
      <c r="B186" t="s">
        <v>84</v>
      </c>
      <c r="C186" t="s">
        <v>24</v>
      </c>
      <c r="D186" t="s">
        <v>229</v>
      </c>
      <c r="E186" s="1">
        <v>188.78749999999999</v>
      </c>
      <c r="F186" s="2">
        <v>4363.25</v>
      </c>
      <c r="G186" s="7">
        <f t="shared" si="14"/>
        <v>823727.05937499995</v>
      </c>
      <c r="H186" s="7">
        <f t="shared" si="15"/>
        <v>21816.25</v>
      </c>
      <c r="I186" s="7">
        <f t="shared" si="16"/>
        <v>845543.30937499995</v>
      </c>
      <c r="J186" s="7">
        <f t="shared" si="17"/>
        <v>290.68124999999998</v>
      </c>
      <c r="K186" s="3">
        <f t="shared" si="18"/>
        <v>4363.25</v>
      </c>
      <c r="L186" s="1">
        <f t="shared" si="19"/>
        <v>1268314.9640624998</v>
      </c>
      <c r="M186" s="7">
        <f t="shared" si="20"/>
        <v>422771.65468749986</v>
      </c>
    </row>
    <row r="187" spans="1:13" x14ac:dyDescent="0.35">
      <c r="A187" t="s">
        <v>230</v>
      </c>
      <c r="B187" t="s">
        <v>113</v>
      </c>
      <c r="C187" t="s">
        <v>24</v>
      </c>
      <c r="D187" t="s">
        <v>229</v>
      </c>
      <c r="E187" s="1">
        <v>370.48500000000001</v>
      </c>
      <c r="F187" s="2">
        <v>4388.75</v>
      </c>
      <c r="G187" s="7">
        <f t="shared" si="14"/>
        <v>1625966.04375</v>
      </c>
      <c r="H187" s="7">
        <f t="shared" si="15"/>
        <v>21943.75</v>
      </c>
      <c r="I187" s="7">
        <f t="shared" si="16"/>
        <v>1647909.79375</v>
      </c>
      <c r="J187" s="7">
        <f t="shared" si="17"/>
        <v>563.22749999999996</v>
      </c>
      <c r="K187" s="3">
        <f t="shared" si="18"/>
        <v>4388.75</v>
      </c>
      <c r="L187" s="1">
        <f t="shared" si="19"/>
        <v>2471864.6906249998</v>
      </c>
      <c r="M187" s="7">
        <f t="shared" si="20"/>
        <v>823954.89687499986</v>
      </c>
    </row>
    <row r="188" spans="1:13" x14ac:dyDescent="0.35">
      <c r="A188" t="s">
        <v>231</v>
      </c>
      <c r="B188" t="s">
        <v>113</v>
      </c>
      <c r="C188" t="s">
        <v>24</v>
      </c>
      <c r="D188" t="s">
        <v>229</v>
      </c>
      <c r="E188" s="1">
        <v>370.48500000000001</v>
      </c>
      <c r="F188" s="2">
        <v>4916.75</v>
      </c>
      <c r="G188" s="7">
        <f t="shared" si="14"/>
        <v>1821582.12375</v>
      </c>
      <c r="H188" s="7">
        <f t="shared" si="15"/>
        <v>24583.75</v>
      </c>
      <c r="I188" s="7">
        <f t="shared" si="16"/>
        <v>1846165.87375</v>
      </c>
      <c r="J188" s="7">
        <f t="shared" si="17"/>
        <v>563.22749999999996</v>
      </c>
      <c r="K188" s="3">
        <f t="shared" si="18"/>
        <v>4916.75</v>
      </c>
      <c r="L188" s="1">
        <f t="shared" si="19"/>
        <v>2769248.8106249999</v>
      </c>
      <c r="M188" s="7">
        <f t="shared" si="20"/>
        <v>923082.9368749999</v>
      </c>
    </row>
    <row r="189" spans="1:13" x14ac:dyDescent="0.35">
      <c r="A189" t="s">
        <v>232</v>
      </c>
      <c r="B189" t="s">
        <v>113</v>
      </c>
      <c r="C189" t="s">
        <v>24</v>
      </c>
      <c r="D189" t="s">
        <v>229</v>
      </c>
      <c r="E189" s="1">
        <v>370.48500000000001</v>
      </c>
      <c r="F189" s="2">
        <v>4647.25</v>
      </c>
      <c r="G189" s="7">
        <f t="shared" si="14"/>
        <v>1721736.41625</v>
      </c>
      <c r="H189" s="7">
        <f t="shared" si="15"/>
        <v>23236.25</v>
      </c>
      <c r="I189" s="7">
        <f t="shared" si="16"/>
        <v>1744972.66625</v>
      </c>
      <c r="J189" s="7">
        <f t="shared" si="17"/>
        <v>563.22749999999996</v>
      </c>
      <c r="K189" s="3">
        <f t="shared" si="18"/>
        <v>4647.25</v>
      </c>
      <c r="L189" s="1">
        <f t="shared" si="19"/>
        <v>2617458.9993749997</v>
      </c>
      <c r="M189" s="7">
        <f t="shared" si="20"/>
        <v>872486.33312499966</v>
      </c>
    </row>
    <row r="190" spans="1:13" x14ac:dyDescent="0.35">
      <c r="A190" t="s">
        <v>233</v>
      </c>
      <c r="B190" t="s">
        <v>113</v>
      </c>
      <c r="C190" t="s">
        <v>24</v>
      </c>
      <c r="D190" t="s">
        <v>229</v>
      </c>
      <c r="E190" s="1">
        <v>370.48500000000001</v>
      </c>
      <c r="F190" s="2">
        <v>4568.75</v>
      </c>
      <c r="G190" s="7">
        <f t="shared" si="14"/>
        <v>1692653.34375</v>
      </c>
      <c r="H190" s="7">
        <f t="shared" si="15"/>
        <v>22843.75</v>
      </c>
      <c r="I190" s="7">
        <f t="shared" si="16"/>
        <v>1715497.09375</v>
      </c>
      <c r="J190" s="7">
        <f t="shared" si="17"/>
        <v>563.22749999999996</v>
      </c>
      <c r="K190" s="3">
        <f t="shared" si="18"/>
        <v>4568.75</v>
      </c>
      <c r="L190" s="1">
        <f t="shared" si="19"/>
        <v>2573245.640625</v>
      </c>
      <c r="M190" s="7">
        <f t="shared" si="20"/>
        <v>857748.546875</v>
      </c>
    </row>
    <row r="191" spans="1:13" x14ac:dyDescent="0.35">
      <c r="A191" t="s">
        <v>234</v>
      </c>
      <c r="B191" t="s">
        <v>113</v>
      </c>
      <c r="C191" t="s">
        <v>24</v>
      </c>
      <c r="D191" t="s">
        <v>229</v>
      </c>
      <c r="E191" s="1">
        <v>115.36</v>
      </c>
      <c r="F191" s="2">
        <v>4827.75</v>
      </c>
      <c r="G191" s="7">
        <f t="shared" si="14"/>
        <v>556929.24</v>
      </c>
      <c r="H191" s="7">
        <f t="shared" si="15"/>
        <v>24138.75</v>
      </c>
      <c r="I191" s="7">
        <f t="shared" si="16"/>
        <v>581067.99</v>
      </c>
      <c r="J191" s="7">
        <f t="shared" si="17"/>
        <v>180.54</v>
      </c>
      <c r="K191" s="3">
        <f t="shared" si="18"/>
        <v>4827.75</v>
      </c>
      <c r="L191" s="1">
        <f t="shared" si="19"/>
        <v>871601.98499999999</v>
      </c>
      <c r="M191" s="7">
        <f t="shared" si="20"/>
        <v>290533.995</v>
      </c>
    </row>
    <row r="192" spans="1:13" x14ac:dyDescent="0.35">
      <c r="A192" t="s">
        <v>235</v>
      </c>
      <c r="B192" t="s">
        <v>113</v>
      </c>
      <c r="C192" t="s">
        <v>24</v>
      </c>
      <c r="D192" t="s">
        <v>229</v>
      </c>
      <c r="E192" s="1">
        <v>115.36</v>
      </c>
      <c r="F192" s="2">
        <v>4544.5</v>
      </c>
      <c r="G192" s="7">
        <f t="shared" si="14"/>
        <v>524253.52</v>
      </c>
      <c r="H192" s="7">
        <f t="shared" si="15"/>
        <v>22722.5</v>
      </c>
      <c r="I192" s="7">
        <f t="shared" si="16"/>
        <v>546976.02</v>
      </c>
      <c r="J192" s="7">
        <f t="shared" si="17"/>
        <v>180.54</v>
      </c>
      <c r="K192" s="3">
        <f t="shared" si="18"/>
        <v>4544.5</v>
      </c>
      <c r="L192" s="1">
        <f t="shared" si="19"/>
        <v>820464.02999999991</v>
      </c>
      <c r="M192" s="7">
        <f t="shared" si="20"/>
        <v>273488.00999999989</v>
      </c>
    </row>
    <row r="193" spans="1:17" x14ac:dyDescent="0.35">
      <c r="A193" t="s">
        <v>236</v>
      </c>
      <c r="B193" t="s">
        <v>113</v>
      </c>
      <c r="C193" t="s">
        <v>24</v>
      </c>
      <c r="D193" t="s">
        <v>229</v>
      </c>
      <c r="E193" s="1">
        <v>115.36</v>
      </c>
      <c r="F193" s="2">
        <v>4624.75</v>
      </c>
      <c r="G193" s="7">
        <f t="shared" si="14"/>
        <v>533511.16</v>
      </c>
      <c r="H193" s="7">
        <f t="shared" si="15"/>
        <v>23123.75</v>
      </c>
      <c r="I193" s="7">
        <f t="shared" si="16"/>
        <v>556634.91</v>
      </c>
      <c r="J193" s="7">
        <f t="shared" si="17"/>
        <v>180.54</v>
      </c>
      <c r="K193" s="3">
        <f t="shared" si="18"/>
        <v>4624.75</v>
      </c>
      <c r="L193" s="1">
        <f t="shared" si="19"/>
        <v>834952.36499999999</v>
      </c>
      <c r="M193" s="7">
        <f t="shared" si="20"/>
        <v>278317.45499999996</v>
      </c>
    </row>
    <row r="194" spans="1:17" x14ac:dyDescent="0.35">
      <c r="A194" t="s">
        <v>237</v>
      </c>
      <c r="B194" t="s">
        <v>98</v>
      </c>
      <c r="C194" t="s">
        <v>24</v>
      </c>
      <c r="D194" t="s">
        <v>28</v>
      </c>
      <c r="E194" s="1">
        <v>104.94499999999999</v>
      </c>
      <c r="F194" s="2">
        <v>4579.75</v>
      </c>
      <c r="G194" s="7">
        <f t="shared" si="14"/>
        <v>480621.86374999996</v>
      </c>
      <c r="H194" s="7">
        <f t="shared" si="15"/>
        <v>22898.75</v>
      </c>
      <c r="I194" s="7">
        <f t="shared" si="16"/>
        <v>503520.61374999996</v>
      </c>
      <c r="J194" s="7">
        <f t="shared" si="17"/>
        <v>164.91749999999999</v>
      </c>
      <c r="K194" s="3">
        <f t="shared" si="18"/>
        <v>4579.75</v>
      </c>
      <c r="L194" s="1">
        <f t="shared" si="19"/>
        <v>755280.92062499991</v>
      </c>
      <c r="M194" s="7">
        <f t="shared" si="20"/>
        <v>251760.30687499995</v>
      </c>
      <c r="Q194" s="4"/>
    </row>
    <row r="195" spans="1:17" x14ac:dyDescent="0.35">
      <c r="A195" t="s">
        <v>238</v>
      </c>
      <c r="B195" t="s">
        <v>98</v>
      </c>
      <c r="C195" t="s">
        <v>24</v>
      </c>
      <c r="D195" t="s">
        <v>28</v>
      </c>
      <c r="E195" s="1">
        <v>104.94499999999999</v>
      </c>
      <c r="F195" s="2">
        <v>4769.25</v>
      </c>
      <c r="G195" s="7">
        <f t="shared" si="14"/>
        <v>500508.94124999997</v>
      </c>
      <c r="H195" s="7">
        <f t="shared" si="15"/>
        <v>23846.25</v>
      </c>
      <c r="I195" s="7">
        <f t="shared" si="16"/>
        <v>524355.19124999992</v>
      </c>
      <c r="J195" s="7">
        <f t="shared" si="17"/>
        <v>164.91749999999999</v>
      </c>
      <c r="K195" s="3">
        <f t="shared" si="18"/>
        <v>4769.25</v>
      </c>
      <c r="L195" s="1">
        <f t="shared" si="19"/>
        <v>786532.78687499999</v>
      </c>
      <c r="M195" s="7">
        <f t="shared" si="20"/>
        <v>262177.59562500007</v>
      </c>
    </row>
    <row r="196" spans="1:17" x14ac:dyDescent="0.35">
      <c r="A196" t="s">
        <v>239</v>
      </c>
      <c r="B196" t="s">
        <v>98</v>
      </c>
      <c r="C196" t="s">
        <v>24</v>
      </c>
      <c r="D196" t="s">
        <v>28</v>
      </c>
      <c r="E196" s="1">
        <v>104.94499999999999</v>
      </c>
      <c r="F196" s="2">
        <v>3845.25</v>
      </c>
      <c r="G196" s="7">
        <f t="shared" si="14"/>
        <v>403539.76124999998</v>
      </c>
      <c r="H196" s="7">
        <f t="shared" si="15"/>
        <v>19226.25</v>
      </c>
      <c r="I196" s="7">
        <f t="shared" si="16"/>
        <v>422766.01124999998</v>
      </c>
      <c r="J196" s="7">
        <f t="shared" si="17"/>
        <v>164.91749999999999</v>
      </c>
      <c r="K196" s="3">
        <f t="shared" si="18"/>
        <v>3845.25</v>
      </c>
      <c r="L196" s="1">
        <f t="shared" si="19"/>
        <v>634149.01687499997</v>
      </c>
      <c r="M196" s="7">
        <f t="shared" si="20"/>
        <v>211383.00562499999</v>
      </c>
    </row>
    <row r="197" spans="1:17" x14ac:dyDescent="0.35">
      <c r="A197" t="s">
        <v>240</v>
      </c>
      <c r="B197" t="s">
        <v>98</v>
      </c>
      <c r="C197" t="s">
        <v>24</v>
      </c>
      <c r="D197" t="s">
        <v>28</v>
      </c>
      <c r="E197" s="1">
        <v>104.94499999999999</v>
      </c>
      <c r="F197" s="2">
        <v>4988.75</v>
      </c>
      <c r="G197" s="7">
        <f t="shared" ref="G197:G200" si="21">F197*E197</f>
        <v>523544.36874999997</v>
      </c>
      <c r="H197" s="7">
        <f t="shared" ref="H197:H200" si="22">F197*$P$1</f>
        <v>24943.75</v>
      </c>
      <c r="I197" s="7">
        <f t="shared" ref="I197:I200" si="23">G197+H197</f>
        <v>548488.11874999991</v>
      </c>
      <c r="J197" s="7">
        <f t="shared" ref="J197:J200" si="24">(E197+$P$1)*1.5</f>
        <v>164.91749999999999</v>
      </c>
      <c r="K197" s="3">
        <f t="shared" ref="K197:K200" si="25">F197</f>
        <v>4988.75</v>
      </c>
      <c r="L197" s="1">
        <f t="shared" ref="L197:L200" si="26">K197*J197</f>
        <v>822732.17812499998</v>
      </c>
      <c r="M197" s="7">
        <f t="shared" ref="M197:M200" si="27">L197-I197</f>
        <v>274244.05937500007</v>
      </c>
    </row>
    <row r="198" spans="1:17" x14ac:dyDescent="0.35">
      <c r="A198" t="s">
        <v>241</v>
      </c>
      <c r="B198" t="s">
        <v>117</v>
      </c>
      <c r="C198" t="s">
        <v>15</v>
      </c>
      <c r="D198" t="s">
        <v>242</v>
      </c>
      <c r="E198" s="1">
        <v>5.9924999999999997</v>
      </c>
      <c r="F198" s="2">
        <v>3783.25</v>
      </c>
      <c r="G198" s="7">
        <f t="shared" si="21"/>
        <v>22671.125625000001</v>
      </c>
      <c r="H198" s="7">
        <f t="shared" si="22"/>
        <v>18916.25</v>
      </c>
      <c r="I198" s="7">
        <f t="shared" si="23"/>
        <v>41587.375625000001</v>
      </c>
      <c r="J198" s="7">
        <f t="shared" si="24"/>
        <v>16.48875</v>
      </c>
      <c r="K198" s="3">
        <f t="shared" si="25"/>
        <v>3783.25</v>
      </c>
      <c r="L198" s="1">
        <f t="shared" si="26"/>
        <v>62381.063437500001</v>
      </c>
      <c r="M198" s="7">
        <f t="shared" si="27"/>
        <v>20793.6878125</v>
      </c>
    </row>
    <row r="199" spans="1:17" x14ac:dyDescent="0.35">
      <c r="A199" t="s">
        <v>243</v>
      </c>
      <c r="B199" t="s">
        <v>117</v>
      </c>
      <c r="C199" t="s">
        <v>15</v>
      </c>
      <c r="D199" t="s">
        <v>242</v>
      </c>
      <c r="E199" s="1">
        <v>11.237500000000001</v>
      </c>
      <c r="F199" s="2">
        <v>4717.75</v>
      </c>
      <c r="G199" s="7">
        <f t="shared" si="21"/>
        <v>53015.715625000004</v>
      </c>
      <c r="H199" s="7">
        <f t="shared" si="22"/>
        <v>23588.75</v>
      </c>
      <c r="I199" s="7">
        <f t="shared" si="23"/>
        <v>76604.465625000012</v>
      </c>
      <c r="J199" s="7">
        <f t="shared" si="24"/>
        <v>24.356250000000003</v>
      </c>
      <c r="K199" s="3">
        <f t="shared" si="25"/>
        <v>4717.75</v>
      </c>
      <c r="L199" s="1">
        <f t="shared" si="26"/>
        <v>114906.69843750002</v>
      </c>
      <c r="M199" s="7">
        <f t="shared" si="27"/>
        <v>38302.232812500006</v>
      </c>
    </row>
    <row r="200" spans="1:17" x14ac:dyDescent="0.35">
      <c r="A200" t="s">
        <v>244</v>
      </c>
      <c r="B200" t="s">
        <v>117</v>
      </c>
      <c r="C200" t="s">
        <v>15</v>
      </c>
      <c r="D200" t="s">
        <v>242</v>
      </c>
      <c r="E200" s="1">
        <v>13.484999999999999</v>
      </c>
      <c r="F200" s="2">
        <v>4766.5</v>
      </c>
      <c r="G200" s="7">
        <f t="shared" si="21"/>
        <v>64276.252499999995</v>
      </c>
      <c r="H200" s="7">
        <f t="shared" si="22"/>
        <v>23832.5</v>
      </c>
      <c r="I200" s="7">
        <f t="shared" si="23"/>
        <v>88108.752500000002</v>
      </c>
      <c r="J200" s="7">
        <f t="shared" si="24"/>
        <v>27.727499999999999</v>
      </c>
      <c r="K200" s="3">
        <f t="shared" si="25"/>
        <v>4766.5</v>
      </c>
      <c r="L200" s="1">
        <f t="shared" si="26"/>
        <v>132163.12875</v>
      </c>
      <c r="M200" s="7">
        <f t="shared" si="27"/>
        <v>44054.376250000001</v>
      </c>
    </row>
    <row r="201" spans="1:17" ht="15" thickBot="1" x14ac:dyDescent="0.4">
      <c r="G201" s="5">
        <f t="shared" ref="G201:M201" si="28">SUM(G4:G200)</f>
        <v>70764990.998125017</v>
      </c>
      <c r="H201" s="5">
        <f t="shared" si="28"/>
        <v>4301328.75</v>
      </c>
      <c r="I201" s="5">
        <f t="shared" si="28"/>
        <v>75066319.748125017</v>
      </c>
      <c r="J201" s="5">
        <f t="shared" si="28"/>
        <v>25919.879999999972</v>
      </c>
      <c r="K201" s="8">
        <f t="shared" si="28"/>
        <v>860265.75</v>
      </c>
      <c r="L201" s="5">
        <f t="shared" si="28"/>
        <v>112599479.62218751</v>
      </c>
      <c r="M201" s="5">
        <f t="shared" si="28"/>
        <v>37533159.874062501</v>
      </c>
    </row>
    <row r="202" spans="1:17" ht="15" thickTop="1" x14ac:dyDescent="0.35"/>
  </sheetData>
  <mergeCells count="13">
    <mergeCell ref="M1:M3"/>
    <mergeCell ref="G1:G3"/>
    <mergeCell ref="H1:H3"/>
    <mergeCell ref="I1:I3"/>
    <mergeCell ref="J1:J3"/>
    <mergeCell ref="K1:K3"/>
    <mergeCell ref="L1:L3"/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2" ma:contentTypeDescription="Create a new document." ma:contentTypeScope="" ma:versionID="5791f7a1e5ce60c682c7fd472657cfed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4db72e02b896ab7bb9242ff846c9720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8C5C99-AEA9-45C8-8A4A-73C68FBF28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40969E-CDB0-426E-91F0-A655AB06EC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D4C417B-C4D3-4673-B18D-F0AA474BC7ED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Jan-Dec</vt:lpstr>
      <vt:lpstr>Jan-Dec_solution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2023-04-12T17:35:28Z</dcterms:created>
  <dcterms:modified xsi:type="dcterms:W3CDTF">2025-12-31T03:53:43Z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